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Steps'!$A$1:$M$3</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s>
</file>

<file path=xl/worksheets/_rels/sheet3.xml.rels><Relationships xmlns="http://schemas.openxmlformats.org/package/2006/relationships"><Relationship Type="http://schemas.openxmlformats.org/officeDocument/2006/relationships/hyperlink" Target="https://soteriafield.app/qr/f4a39ecd149a4440" TargetMode="External" Id="rId1" /><Relationship Type="http://schemas.openxmlformats.org/officeDocument/2006/relationships/hyperlink" Target="https://soteriafield.app/qr/f4a39ecd149a4440"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2</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SKPK-331</t>
        </is>
      </c>
      <c r="B2" t="inlineStr">
        <is>
          <t>Main Distribution Fastback 1C</t>
        </is>
      </c>
      <c r="C2" t="inlineStr">
        <is>
          <t>EN</t>
        </is>
      </c>
      <c r="D2" s="5" t="inlineStr">
        <is>
          <t>Open</t>
        </is>
      </c>
    </row>
    <row r="3">
      <c r="A3" t="inlineStr">
        <is>
          <t>SKPK-331</t>
        </is>
      </c>
      <c r="B3" t="inlineStr">
        <is>
          <t>Main Distribution Fastback 1C</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2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SKPK-331 (Main 01C - Main Distribution Fastback 1C)</t>
        </is>
      </c>
      <c r="B3" s="10" t="n"/>
      <c r="C3" s="10" t="n"/>
      <c r="D3" s="10" t="n"/>
      <c r="E3" s="10" t="n"/>
      <c r="F3" s="10" t="n"/>
      <c r="G3" s="10" t="n"/>
      <c r="H3" s="10" t="n"/>
      <c r="I3" s="11" t="inlineStr">
        <is>
          <t>Main Distribution Fastback 1C</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SKPK-MAIN-DIST-FASTBACK-1C covers 13 distribution lanes on this Main Distribution Fastback panel. Single disconnect.</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FastBack drive motor (often 7.5-15 HP), VFD, controls. 5-minute DC-bus discharge required.</t>
        </is>
      </c>
      <c r="B34" s="19" t="n"/>
      <c r="C34" s="50" t="inlineStr">
        <is>
          <t>ISOLATION PROCEDURE &amp; LOCKOUT DEVICES — ELECTRICAL:
1. Notify all affected employees that LOTO is being performed on Main Distribution FastBack 1C #1 (SKPK-331).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Eccentric horizontal-motion drive. ~60 SECOND COAST-DOWN after E-stop — eccentric momentum keeps the deck moving. Do not enter the trough or reach over the deck until full stop verified.</t>
        </is>
      </c>
      <c r="B44" s="27" t="n"/>
      <c r="C44" s="53" t="inlineStr">
        <is>
          <t>ISOLATION PROCEDURE — MECHANICAL:
1. After electrical isolation per the E procedure, manually verify all rotating/reciprocating components of Main Distribution FastBack 1C #1 (SKPK-331)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SKPK-331 (Main 01C - Main Distribution Fastback 1C)</t>
        </is>
      </c>
      <c r="B65" s="10" t="n"/>
      <c r="C65" s="10" t="n"/>
      <c r="D65" s="10" t="n"/>
      <c r="E65" s="10" t="n"/>
      <c r="F65" s="10" t="n"/>
      <c r="G65" s="10" t="n"/>
      <c r="H65" s="10" t="n"/>
      <c r="I65" s="11" t="inlineStr">
        <is>
          <t>Main Distribution Fastback 1C</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PLACARD-OWNER 2026-05-13: SKPK-MAIN-DIST-FASTBACK-1C covers 13 distribution lanes on this Main Distribution Fastback panel. Single disconnect.</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E — Eléctrico
AISLAR
ETIQUETA DE ENERGÍA Y DESCRIPCIÓN — E:
ELÉCTRICO (E) — 208V/480V al motor FastBack (a menudo 7.5-15 HP), VFD, controles. Se requiere descarga del bus DC de 5 minutos.</t>
        </is>
      </c>
      <c r="B96" s="19" t="n"/>
      <c r="C96" s="50" t="inlineStr">
        <is>
          <t>PROCEDIMIENTO DE AISLAMIENTO Y DISPOSITIVOS DE BLOQUEO — ELÉCTRICO:
1. Notifique a todos los empleados afectados que se está realizando LOTO en Main Distribution FastBack 1C #1 (SKPK-331).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6" s="51" t="n"/>
      <c r="E96" s="51" t="n"/>
      <c r="F96" s="51" t="n"/>
      <c r="G96" s="51" t="n"/>
      <c r="H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6" s="51" t="n"/>
      <c r="J96" s="51" t="n"/>
      <c r="K96" s="51" t="n"/>
      <c r="L96" s="51" t="n"/>
    </row>
    <row r="97" ht="12" customHeight="1">
      <c r="A97" s="19" t="n"/>
      <c r="B97" s="19" t="n"/>
      <c r="C97" s="51" t="n"/>
      <c r="D97" s="51" t="n"/>
      <c r="E97" s="51" t="n"/>
      <c r="F97" s="51" t="n"/>
      <c r="G97" s="51" t="n"/>
      <c r="H97" s="51" t="n"/>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06" s="27" t="n"/>
      <c r="C106" s="53" t="inlineStr">
        <is>
          <t>PROCEDIMIENTO DE AISLAMIENTO — MECÁNICO:
1. Después del aislamiento eléctrico per el procedimiento E, verifique manualmente que todos los componentes rotativos/reciprocantes de Main Distribution FastBack 1C #1 (SKPK-331)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6" s="54" t="n"/>
      <c r="E106" s="54" t="n"/>
      <c r="F106" s="54" t="n"/>
      <c r="G106" s="54" t="n"/>
      <c r="H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6" s="54" t="n"/>
      <c r="J106" s="54" t="n"/>
      <c r="K106" s="54" t="n"/>
      <c r="L106" s="54" t="n"/>
    </row>
    <row r="107" ht="12" customHeight="1">
      <c r="A107" s="27" t="n"/>
      <c r="B107" s="27" t="n"/>
      <c r="C107" s="54" t="n"/>
      <c r="D107" s="54" t="n"/>
      <c r="E107" s="54" t="n"/>
      <c r="F107" s="54" t="n"/>
      <c r="G107" s="54" t="n"/>
      <c r="H107" s="54" t="n"/>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27" t="n"/>
      <c r="B114" s="27" t="n"/>
      <c r="C114" s="54" t="n"/>
      <c r="D114" s="54" t="n"/>
      <c r="E114" s="54" t="n"/>
      <c r="F114" s="54" t="n"/>
      <c r="G114" s="54" t="n"/>
      <c r="H114" s="54" t="n"/>
      <c r="I114" s="54" t="n"/>
      <c r="J114" s="54" t="n"/>
      <c r="K114" s="54" t="n"/>
      <c r="L114" s="54" t="n"/>
    </row>
    <row r="115" ht="12" customHeight="1">
      <c r="A115" s="27" t="n"/>
      <c r="B115" s="27" t="n"/>
      <c r="C115" s="54" t="n"/>
      <c r="D115" s="54" t="n"/>
      <c r="E115" s="54" t="n"/>
      <c r="F115" s="54" t="n"/>
      <c r="G115" s="54" t="n"/>
      <c r="H115" s="54" t="n"/>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sheetData>
  <mergeCells count="91">
    <mergeCell ref="A15:B15"/>
    <mergeCell ref="C15:D15"/>
    <mergeCell ref="A80:F93"/>
    <mergeCell ref="A68:G68"/>
    <mergeCell ref="H68:L68"/>
    <mergeCell ref="I16:J16"/>
    <mergeCell ref="G80:L93"/>
    <mergeCell ref="A32:F32"/>
    <mergeCell ref="A3:H3"/>
    <mergeCell ref="G32:L32"/>
    <mergeCell ref="C95:G95"/>
    <mergeCell ref="A63:L63"/>
    <mergeCell ref="A33:B33"/>
    <mergeCell ref="A119:F122"/>
    <mergeCell ref="H96:L105"/>
    <mergeCell ref="H69:L75"/>
    <mergeCell ref="H95:L95"/>
    <mergeCell ref="K78:L78"/>
    <mergeCell ref="G77:H77"/>
    <mergeCell ref="I77:J77"/>
    <mergeCell ref="I15:J15"/>
    <mergeCell ref="K15:L15"/>
    <mergeCell ref="G124:I124"/>
    <mergeCell ref="H34:L43"/>
    <mergeCell ref="G18:L31"/>
    <mergeCell ref="A18:F31"/>
    <mergeCell ref="A5:L5"/>
    <mergeCell ref="A14:L14"/>
    <mergeCell ref="A4:L4"/>
    <mergeCell ref="G94:L94"/>
    <mergeCell ref="D60:F60"/>
    <mergeCell ref="A67:L67"/>
    <mergeCell ref="A44:B53"/>
    <mergeCell ref="C106:G117"/>
    <mergeCell ref="A60:C60"/>
    <mergeCell ref="A55:F58"/>
    <mergeCell ref="E16:F16"/>
    <mergeCell ref="A34:B43"/>
    <mergeCell ref="G16:H16"/>
    <mergeCell ref="H7:L13"/>
    <mergeCell ref="J60:L60"/>
    <mergeCell ref="A69:G75"/>
    <mergeCell ref="A123:L123"/>
    <mergeCell ref="A124:C124"/>
    <mergeCell ref="A77:B77"/>
    <mergeCell ref="G55:L58"/>
    <mergeCell ref="K16:L16"/>
    <mergeCell ref="C34:G43"/>
    <mergeCell ref="C77:D77"/>
    <mergeCell ref="C33:G33"/>
    <mergeCell ref="G119:L122"/>
    <mergeCell ref="A66:L66"/>
    <mergeCell ref="H106:L117"/>
    <mergeCell ref="A118:L118"/>
    <mergeCell ref="C44:G53"/>
    <mergeCell ref="A2:L2"/>
    <mergeCell ref="A78:B78"/>
    <mergeCell ref="H6:L6"/>
    <mergeCell ref="J124:L124"/>
    <mergeCell ref="E78:F78"/>
    <mergeCell ref="G78:H78"/>
    <mergeCell ref="E77:F77"/>
    <mergeCell ref="E15:F15"/>
    <mergeCell ref="A6:G6"/>
    <mergeCell ref="G15:H15"/>
    <mergeCell ref="A106:B117"/>
    <mergeCell ref="A59:L59"/>
    <mergeCell ref="A64:L64"/>
    <mergeCell ref="C96:G105"/>
    <mergeCell ref="A94:F94"/>
    <mergeCell ref="H33:L33"/>
    <mergeCell ref="D124:F124"/>
    <mergeCell ref="H44:L53"/>
    <mergeCell ref="A54:L54"/>
    <mergeCell ref="A16:B16"/>
    <mergeCell ref="C16:D16"/>
    <mergeCell ref="A76:L76"/>
    <mergeCell ref="A65:H65"/>
    <mergeCell ref="I65:L65"/>
    <mergeCell ref="A17:L17"/>
    <mergeCell ref="A62:L62"/>
    <mergeCell ref="K77:L77"/>
    <mergeCell ref="G60:I60"/>
    <mergeCell ref="A95:B95"/>
    <mergeCell ref="A96:B105"/>
    <mergeCell ref="I78:J78"/>
    <mergeCell ref="I3:L3"/>
    <mergeCell ref="A1:L1"/>
    <mergeCell ref="A79:L79"/>
    <mergeCell ref="A7:G13"/>
    <mergeCell ref="C78:D78"/>
  </mergeCells>
  <hyperlinks>
    <hyperlink xmlns:r="http://schemas.openxmlformats.org/officeDocument/2006/relationships" ref="A2" r:id="rId1"/>
    <hyperlink xmlns:r="http://schemas.openxmlformats.org/officeDocument/2006/relationships" ref="A63" r:id="rId2"/>
  </hyperlinks>
  <printOptions horizontalCentered="1"/>
  <pageMargins left="0.3" right="0.3" top="0.3" bottom="0.3" header="0.15" footer="0.15"/>
  <pageSetup orientation="landscape" paperSize="1" fitToHeight="0" fitToWidth="1"/>
  <rowBreaks count="2" manualBreakCount="2">
    <brk id="61" min="0" max="16383" man="1"/>
    <brk id="125"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SKPK-331</t>
        </is>
      </c>
      <c r="B2" t="inlineStr">
        <is>
          <t>SKPK-331 (Main 01C - Main Distribution Fastback 1C)</t>
        </is>
      </c>
      <c r="C2" t="inlineStr">
        <is>
          <t>Main Distribution Fastback 1C</t>
        </is>
      </c>
      <c r="D2" t="inlineStr">
        <is>
          <t>general</t>
        </is>
      </c>
      <c r="E2" t="inlineStr">
        <is>
          <t>SKPK</t>
        </is>
      </c>
      <c r="F2" t="inlineStr">
        <is>
          <t>Heat and Control</t>
        </is>
      </c>
      <c r="H2" t="inlineStr">
        <is>
          <t>complete</t>
        </is>
      </c>
      <c r="I2" t="b">
        <v>1</v>
      </c>
      <c r="J2" t="b">
        <v>1</v>
      </c>
      <c r="K2" t="b">
        <v>0</v>
      </c>
      <c r="L2" t="b">
        <v>0</v>
      </c>
      <c r="M2" t="b">
        <v>0</v>
      </c>
      <c r="N2" t="b">
        <v>0</v>
      </c>
      <c r="Q2" t="inlineStr">
        <is>
          <t>PLACARD-OWNER 2026-05-13: SKPK-MAIN-DIST-FASTBACK-1C covers 13 distribution lanes on this Main Distribution Fastback panel. Single disconnect.</t>
        </is>
      </c>
      <c r="S2" t="inlineStr">
        <is>
          <t xml:space="preserve">
[2026-05-20 WS4] manufacturer set from description keyword.</t>
        </is>
      </c>
      <c r="T2" t="b">
        <v>0</v>
      </c>
      <c r="U2" t="inlineStr">
        <is>
          <t>https://zwtnpyjifbdytlektxlc.supabase.co/storage/v1/object/public/loto-photos/SKPK-331-EQ.jpg</t>
        </is>
      </c>
      <c r="V2" t="inlineStr">
        <is>
          <t>https://zwtnpyjifbdytlektxlc.supabase.co/storage/v1/object/public/loto-photos/SKPK-331-IP.jpg</t>
        </is>
      </c>
      <c r="X2" t="inlineStr">
        <is>
          <t>f4a39ecd149a4440</t>
        </is>
      </c>
      <c r="Y2" t="inlineStr">
        <is>
          <t>available</t>
        </is>
      </c>
      <c r="AE2" t="inlineStr">
        <is>
          <t>main</t>
        </is>
      </c>
      <c r="AJ2" t="inlineStr">
        <is>
          <t>field</t>
        </is>
      </c>
      <c r="AK2" t="inlineStr">
        <is>
          <t>field</t>
        </is>
      </c>
      <c r="AL2" t="b">
        <v>0</v>
      </c>
      <c r="AO2" t="inlineStr">
        <is>
          <t>2026-04-13T19:35:12+00:00</t>
        </is>
      </c>
      <c r="AP2" t="inlineStr">
        <is>
          <t>2026-06-10T15:00:36.209594+00:00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SKPK-331</t>
        </is>
      </c>
      <c r="B2" t="n">
        <v>1</v>
      </c>
      <c r="C2" t="n">
        <v>1</v>
      </c>
      <c r="D2" t="inlineStr">
        <is>
          <t>isolate</t>
        </is>
      </c>
      <c r="E2" t="inlineStr">
        <is>
          <t>E</t>
        </is>
      </c>
      <c r="F2" t="b">
        <v>0</v>
      </c>
      <c r="G2" t="inlineStr">
        <is>
          <t>ENERGY TAG &amp; DESCRIPTION — E:
ELECTRICAL (E) — 208V/480V to FastBack drive motor (often 7.5-15 HP), VFD, controls. 5-minute DC-bus discharge required.</t>
        </is>
      </c>
      <c r="H2" t="inlineStr">
        <is>
          <t>ISOLATION PROCEDURE &amp; LOCKOUT DEVICES — ELECTRICAL:
1. Notify all affected employees that LOTO is being performed on Main Distribution FastBack 1C #1 (SKPK-331).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FastBack (a menudo 7.5-15 HP), VFD, controles. Se requiere descarga del bus DC de 5 minutos.</t>
        </is>
      </c>
      <c r="K2" t="inlineStr">
        <is>
          <t>PROCEDIMIENTO DE AISLAMIENTO Y DISPOSITIVOS DE BLOQUEO — ELÉCTRICO:
1. Notifique a todos los empleados afectados que se está realizando LOTO en Main Distribution FastBack 1C #1 (SKPK-331).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SKPK-331</t>
        </is>
      </c>
      <c r="B3" t="n">
        <v>1</v>
      </c>
      <c r="C3" t="n">
        <v>1</v>
      </c>
      <c r="D3" t="inlineStr">
        <is>
          <t>isolate</t>
        </is>
      </c>
      <c r="E3" t="inlineStr">
        <is>
          <t>M</t>
        </is>
      </c>
      <c r="F3" t="b">
        <v>0</v>
      </c>
      <c r="G3" t="inlineStr">
        <is>
          <t>ENERGY TAG &amp; DESCRIPTION — M:
MECHANICAL (M) — Eccentric horizontal-motion drive. ~60 SECOND COAST-DOWN after E-stop — eccentric momentum keeps the deck moving. Do not enter the trough or reach over the deck until full stop verified.</t>
        </is>
      </c>
      <c r="H3" t="inlineStr">
        <is>
          <t>ISOLATION PROCEDURE — MECHANICAL:
1. After electrical isolation per the E procedure, manually verify all rotating/reciprocating components of Main Distribution FastBack 1C #1 (SKPK-331)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3" t="inlineStr">
        <is>
          <t>PROCEDIMIENTO DE AISLAMIENTO — MECÁNICO:
1. Después del aislamiento eléctrico per el procedimiento E, verifique manualmente que todos los componentes rotativos/reciprocantes de Main Distribution FastBack 1C #1 (SKPK-331)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v>
      </c>
    </row>
    <row r="4">
      <c r="A4" s="63" t="inlineStr">
        <is>
          <t>Energy isolation steps</t>
        </is>
      </c>
      <c r="B4" s="64" t="n">
        <v>2</v>
      </c>
    </row>
    <row r="5">
      <c r="A5" s="63" t="inlineStr">
        <is>
          <t>Rendered placard pages</t>
        </is>
      </c>
      <c r="B5" s="64"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Main Distribution Fastback 1C</t>
        </is>
      </c>
      <c r="B8" s="63">
        <f>COUNTIF(Equipment!$C$2:$C$2,$A8)</f>
        <v/>
      </c>
      <c r="C8" s="63">
        <f>COUNTIFS(Equipment!$C$2:$C$2,$A8,Equipment!$H$2:$H$2,"complete")</f>
        <v/>
      </c>
      <c r="D8" s="63">
        <f>COUNTIFS(Equipment!$C$2:$C$2,$A8,Equipment!$H$2:$H$2,"partial")</f>
        <v/>
      </c>
      <c r="E8" s="63">
        <f>COUNTIFS(Equipment!$C$2:$C$2,$A8,Equipment!$H$2:$H$2,"missing")</f>
        <v/>
      </c>
      <c r="F8" s="63">
        <f>COUNTIFS(Equipment!$C$2:$C$2,$A8,Equipment!$N$2:$N$2,TRUE)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2026-08-29T00:56:25Z</dcterms:created>
  <dcterms:modified xsi:type="dcterms:W3CDTF">2026-08-29T00:56:25Z</dcterms:modified>
</cp:coreProperties>
</file>