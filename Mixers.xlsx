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'Index'!$A$1:$D$5</definedName>
    <definedName name="_xlnm._FilterDatabase" localSheetId="3" hidden="1">'Equipment'!$A$1:$AP$3</definedName>
    <definedName name="_xlnm._FilterDatabase" localSheetId="4" hidden="1">'Energy Steps'!$A$1:$M$29</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1">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555555"/>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9">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17" borderId="1" applyAlignment="1" pivotButton="0" quotePrefix="0" xfId="0">
      <alignment horizontal="left" vertical="top" wrapText="1"/>
    </xf>
    <xf numFmtId="0" fontId="0" fillId="17" borderId="1" pivotButton="0" quotePrefix="0" xfId="0"/>
    <xf numFmtId="0" fontId="14" fillId="0" borderId="1" applyAlignment="1" pivotButton="0" quotePrefix="0" xfId="0">
      <alignment horizontal="left" vertical="top" wrapText="1"/>
    </xf>
    <xf numFmtId="0" fontId="0" fillId="0" borderId="1" pivotButton="0" quotePrefix="0" xfId="0"/>
    <xf numFmtId="0" fontId="9" fillId="4" borderId="1" applyAlignment="1" pivotButton="0" quotePrefix="0" xfId="0">
      <alignment horizontal="left" vertical="top" wrapText="1"/>
    </xf>
    <xf numFmtId="0" fontId="14" fillId="18" borderId="1" applyAlignment="1" pivotButton="0" quotePrefix="0" xfId="0">
      <alignment horizontal="left" vertical="top" wrapText="1"/>
    </xf>
    <xf numFmtId="0" fontId="0" fillId="18" borderId="1" pivotButton="0" quotePrefix="0" xfId="0"/>
    <xf numFmtId="0" fontId="9" fillId="5" borderId="1" applyAlignment="1" pivotButton="0" quotePrefix="0" xfId="0">
      <alignment horizontal="left" vertical="top" wrapText="1"/>
    </xf>
    <xf numFmtId="0" fontId="9" fillId="6" borderId="1" applyAlignment="1" pivotButton="0" quotePrefix="0" xfId="0">
      <alignment horizontal="left" vertical="top" wrapText="1"/>
    </xf>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9" borderId="1" applyAlignment="1" pivotButton="0" quotePrefix="0" xfId="0">
      <alignment horizontal="left" vertical="center"/>
    </xf>
    <xf numFmtId="0" fontId="0" fillId="19" borderId="1" pivotButton="0" quotePrefix="0" xfId="0"/>
    <xf numFmtId="0" fontId="17" fillId="20" borderId="0" applyAlignment="1" pivotButton="0" quotePrefix="0" xfId="0">
      <alignment horizontal="center" vertical="center"/>
    </xf>
    <xf numFmtId="0" fontId="0" fillId="20"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101</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101</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185</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185</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269</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269</row>
      <rowOff>0</rowOff>
    </from>
    <ext cx="3238500" cy="2428875"/>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84" TargetMode="External" Id="rId2" /><Relationship Type="http://schemas.openxmlformats.org/officeDocument/2006/relationships/hyperlink" Target="#'Placards'!A169" TargetMode="External" Id="rId3" /><Relationship Type="http://schemas.openxmlformats.org/officeDocument/2006/relationships/hyperlink" Target="#'Placards'!A252" TargetMode="External" Id="rId4" /></Relationships>
</file>

<file path=xl/worksheets/_rels/sheet3.xml.rels><Relationships xmlns="http://schemas.openxmlformats.org/package/2006/relationships"><Relationship Type="http://schemas.openxmlformats.org/officeDocument/2006/relationships/hyperlink" Target="https://soteriafield.app/qr/35e1e6b64f484ac2" TargetMode="External" Id="rId1" /><Relationship Type="http://schemas.openxmlformats.org/officeDocument/2006/relationships/hyperlink" Target="https://soteriafield.app/qr/35e1e6b64f484ac2" TargetMode="External" Id="rId2" /><Relationship Type="http://schemas.openxmlformats.org/officeDocument/2006/relationships/hyperlink" Target="https://soteriafield.app/qr/a0f50526f2b24b0a" TargetMode="External" Id="rId3" /><Relationship Type="http://schemas.openxmlformats.org/officeDocument/2006/relationships/hyperlink" Target="https://soteriafield.app/qr/a0f50526f2b24b0a"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t>
        </is>
      </c>
    </row>
    <row r="5">
      <c r="A5" s="2" t="inlineStr">
        <is>
          <t>Energy isolation steps: 28</t>
        </is>
      </c>
    </row>
    <row r="6">
      <c r="A6" s="2" t="inlineStr">
        <is>
          <t>Photos embedded: 4 of 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302-MX-1</t>
        </is>
      </c>
      <c r="B2" t="inlineStr">
        <is>
          <t>Mixers</t>
        </is>
      </c>
      <c r="C2" t="inlineStr">
        <is>
          <t>EN</t>
        </is>
      </c>
      <c r="D2" s="5" t="inlineStr">
        <is>
          <t>Open</t>
        </is>
      </c>
    </row>
    <row r="3">
      <c r="A3" t="inlineStr">
        <is>
          <t>302-MX-1</t>
        </is>
      </c>
      <c r="B3" t="inlineStr">
        <is>
          <t>Mixers</t>
        </is>
      </c>
      <c r="C3" t="inlineStr">
        <is>
          <t>ES</t>
        </is>
      </c>
      <c r="D3" s="5" t="inlineStr">
        <is>
          <t>Open</t>
        </is>
      </c>
    </row>
    <row r="4">
      <c r="A4" t="inlineStr">
        <is>
          <t>321-MX-01</t>
        </is>
      </c>
      <c r="B4" t="inlineStr">
        <is>
          <t>Mixers</t>
        </is>
      </c>
      <c r="C4" t="inlineStr">
        <is>
          <t>EN</t>
        </is>
      </c>
      <c r="D4" s="5" t="inlineStr">
        <is>
          <t>Open</t>
        </is>
      </c>
    </row>
    <row r="5">
      <c r="A5" t="inlineStr">
        <is>
          <t>321-MX-01</t>
        </is>
      </c>
      <c r="B5" t="inlineStr">
        <is>
          <t>Mixers</t>
        </is>
      </c>
      <c r="C5" t="inlineStr">
        <is>
          <t>ES</t>
        </is>
      </c>
      <c r="D5" s="5" t="inlineStr">
        <is>
          <t>Open</t>
        </is>
      </c>
    </row>
  </sheetData>
  <autoFilter ref="A1:D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335"/>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302-MX-1 (Shaffer Masa Mixer - Line 302 Tortilla)</t>
        </is>
      </c>
      <c r="B3" s="10" t="n"/>
      <c r="C3" s="10" t="n"/>
      <c r="D3" s="10" t="n"/>
      <c r="E3" s="10" t="n"/>
      <c r="F3" s="10" t="n"/>
      <c r="G3" s="10" t="n"/>
      <c r="H3" s="10" t="n"/>
      <c r="I3" s="11" t="inlineStr">
        <is>
          <t>Mixers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PHOTO_UPGRADE 2026-05-13: Moved from canonical 302-MX-1-EQ/IP to machine-specific dated captures from 2026-04-20 (iso_05 chosen for highest resolution among 8 variants).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N — None
SHUTDOWN
Operating controls (normal stop)</t>
        </is>
      </c>
      <c r="B34" s="50" t="n"/>
      <c r="C34" s="51" t="inlineStr">
        <is>
          <t>Notify all affected production and sanitation employees, then bring the machine to a normal, controlled stop using its operating controls.</t>
        </is>
      </c>
      <c r="D34" s="52" t="n"/>
      <c r="E34" s="52" t="n"/>
      <c r="F34" s="52" t="n"/>
      <c r="G34" s="52" t="n"/>
      <c r="H34" s="51" t="n"/>
      <c r="I34" s="52" t="n"/>
      <c r="J34" s="52" t="n"/>
      <c r="K34" s="52" t="n"/>
      <c r="L34" s="52" t="n"/>
    </row>
    <row r="35" ht="12" customHeight="1">
      <c r="A35" s="50" t="n"/>
      <c r="B35" s="50" t="n"/>
      <c r="C35" s="52" t="n"/>
      <c r="D35" s="52" t="n"/>
      <c r="E35" s="52" t="n"/>
      <c r="F35" s="52" t="n"/>
      <c r="G35" s="52" t="n"/>
      <c r="H35" s="52" t="n"/>
      <c r="I35" s="52" t="n"/>
      <c r="J35" s="52" t="n"/>
      <c r="K35" s="52" t="n"/>
      <c r="L35" s="52" t="n"/>
    </row>
    <row r="36" ht="12" customHeight="1">
      <c r="A36" s="50" t="n"/>
      <c r="B36" s="50" t="n"/>
      <c r="C36" s="52" t="n"/>
      <c r="D36" s="52" t="n"/>
      <c r="E36" s="52" t="n"/>
      <c r="F36" s="52" t="n"/>
      <c r="G36" s="52" t="n"/>
      <c r="H36" s="52" t="n"/>
      <c r="I36" s="52" t="n"/>
      <c r="J36" s="52" t="n"/>
      <c r="K36" s="52" t="n"/>
      <c r="L36" s="52" t="n"/>
    </row>
    <row r="37" ht="12" customHeight="1">
      <c r="A37" s="53" t="inlineStr">
        <is>
          <t>E — Electrical
ISOLATE
Main electrical disconnect</t>
        </is>
      </c>
      <c r="B37" s="19" t="n"/>
      <c r="C37" s="54" t="inlineStr">
        <is>
          <t>ELECTRICAL - Open the machine's main electrical disconnect to the OFF position. [VERIFY ON SITE: disconnect ID &amp; location]</t>
        </is>
      </c>
      <c r="D37" s="55" t="n"/>
      <c r="E37" s="55" t="n"/>
      <c r="F37" s="55" t="n"/>
      <c r="G37" s="55" t="n"/>
      <c r="H37" s="54" t="n"/>
      <c r="I37" s="55" t="n"/>
      <c r="J37" s="55" t="n"/>
      <c r="K37" s="55" t="n"/>
      <c r="L37" s="55" t="n"/>
    </row>
    <row r="38" ht="12" customHeight="1">
      <c r="A38" s="19" t="n"/>
      <c r="B38" s="19" t="n"/>
      <c r="C38" s="55" t="n"/>
      <c r="D38" s="55" t="n"/>
      <c r="E38" s="55" t="n"/>
      <c r="F38" s="55" t="n"/>
      <c r="G38" s="55" t="n"/>
      <c r="H38" s="55" t="n"/>
      <c r="I38" s="55" t="n"/>
      <c r="J38" s="55" t="n"/>
      <c r="K38" s="55" t="n"/>
      <c r="L38" s="55" t="n"/>
    </row>
    <row r="39" ht="12" customHeight="1">
      <c r="A39" s="19" t="n"/>
      <c r="B39" s="19" t="n"/>
      <c r="C39" s="55" t="n"/>
      <c r="D39" s="55" t="n"/>
      <c r="E39" s="55" t="n"/>
      <c r="F39" s="55" t="n"/>
      <c r="G39" s="55" t="n"/>
      <c r="H39" s="55" t="n"/>
      <c r="I39" s="55" t="n"/>
      <c r="J39" s="55" t="n"/>
      <c r="K39" s="55" t="n"/>
      <c r="L39" s="55" t="n"/>
    </row>
    <row r="40" ht="12" customHeight="1">
      <c r="A40" s="56" t="inlineStr">
        <is>
          <t>H — Hydraulic
ISOLATE
Hydraulic isolation valve</t>
        </is>
      </c>
      <c r="B40" s="23" t="n"/>
      <c r="C40" s="51" t="inlineStr">
        <is>
          <t>HYDRAULIC - Close the hydraulic supply/isolation valve and confirm the pump is de-energized. [VERIFY ON SITE: valve location]</t>
        </is>
      </c>
      <c r="D40" s="52" t="n"/>
      <c r="E40" s="52" t="n"/>
      <c r="F40" s="52" t="n"/>
      <c r="G40" s="52" t="n"/>
      <c r="H40" s="51" t="n"/>
      <c r="I40" s="52" t="n"/>
      <c r="J40" s="52" t="n"/>
      <c r="K40" s="52" t="n"/>
      <c r="L40" s="52" t="n"/>
    </row>
    <row r="41" ht="12" customHeight="1">
      <c r="A41" s="23" t="n"/>
      <c r="B41" s="23" t="n"/>
      <c r="C41" s="52" t="n"/>
      <c r="D41" s="52" t="n"/>
      <c r="E41" s="52" t="n"/>
      <c r="F41" s="52" t="n"/>
      <c r="G41" s="52" t="n"/>
      <c r="H41" s="52" t="n"/>
      <c r="I41" s="52" t="n"/>
      <c r="J41" s="52" t="n"/>
      <c r="K41" s="52" t="n"/>
      <c r="L41" s="52" t="n"/>
    </row>
    <row r="42" ht="12" customHeight="1">
      <c r="A42" s="23" t="n"/>
      <c r="B42" s="23" t="n"/>
      <c r="C42" s="52" t="n"/>
      <c r="D42" s="52" t="n"/>
      <c r="E42" s="52" t="n"/>
      <c r="F42" s="52" t="n"/>
      <c r="G42" s="52" t="n"/>
      <c r="H42" s="52" t="n"/>
      <c r="I42" s="52" t="n"/>
      <c r="J42" s="52" t="n"/>
      <c r="K42" s="52" t="n"/>
      <c r="L42" s="52" t="n"/>
    </row>
    <row r="43" ht="12" customHeight="1">
      <c r="A43" s="57" t="inlineStr">
        <is>
          <t>P — Pneumatic
ISOLATE
Air-supply isolation valve</t>
        </is>
      </c>
      <c r="B43" s="25" t="n"/>
      <c r="C43" s="54" t="inlineStr">
        <is>
          <t>PNEUMATIC - Close the lockable air-supply isolation valve to the machine. [VERIFY ON SITE: valve location]</t>
        </is>
      </c>
      <c r="D43" s="55" t="n"/>
      <c r="E43" s="55" t="n"/>
      <c r="F43" s="55" t="n"/>
      <c r="G43" s="55" t="n"/>
      <c r="H43" s="54" t="n"/>
      <c r="I43" s="55" t="n"/>
      <c r="J43" s="55" t="n"/>
      <c r="K43" s="55" t="n"/>
      <c r="L43" s="55" t="n"/>
    </row>
    <row r="44" ht="12" customHeight="1">
      <c r="A44" s="25" t="n"/>
      <c r="B44" s="25" t="n"/>
      <c r="C44" s="55" t="n"/>
      <c r="D44" s="55" t="n"/>
      <c r="E44" s="55" t="n"/>
      <c r="F44" s="55" t="n"/>
      <c r="G44" s="55" t="n"/>
      <c r="H44" s="55" t="n"/>
      <c r="I44" s="55" t="n"/>
      <c r="J44" s="55" t="n"/>
      <c r="K44" s="55" t="n"/>
      <c r="L44" s="55" t="n"/>
    </row>
    <row r="45" ht="12" customHeight="1">
      <c r="A45" s="25" t="n"/>
      <c r="B45" s="25" t="n"/>
      <c r="C45" s="55" t="n"/>
      <c r="D45" s="55" t="n"/>
      <c r="E45" s="55" t="n"/>
      <c r="F45" s="55" t="n"/>
      <c r="G45" s="55" t="n"/>
      <c r="H45" s="55" t="n"/>
      <c r="I45" s="55" t="n"/>
      <c r="J45" s="55" t="n"/>
      <c r="K45" s="55" t="n"/>
      <c r="L45" s="55" t="n"/>
    </row>
    <row r="46" ht="12" customHeight="1">
      <c r="A46" s="58" t="inlineStr">
        <is>
          <t>M — Mechanical
ISOLATE
Drive brake / rotating parts</t>
        </is>
      </c>
      <c r="B46" s="27" t="n"/>
      <c r="C46" s="51" t="inlineStr">
        <is>
          <t>MECHANICAL - Confirm all drives are commanded off and engage any drive brake / anti-rotation pin provided. [VERIFY ON SITE: brake/pin location]</t>
        </is>
      </c>
      <c r="D46" s="52" t="n"/>
      <c r="E46" s="52" t="n"/>
      <c r="F46" s="52" t="n"/>
      <c r="G46" s="52" t="n"/>
      <c r="H46" s="51" t="n"/>
      <c r="I46" s="52" t="n"/>
      <c r="J46" s="52" t="n"/>
      <c r="K46" s="52" t="n"/>
      <c r="L46" s="52" t="n"/>
    </row>
    <row r="47" ht="12" customHeight="1">
      <c r="A47" s="27" t="n"/>
      <c r="B47" s="27" t="n"/>
      <c r="C47" s="52" t="n"/>
      <c r="D47" s="52" t="n"/>
      <c r="E47" s="52" t="n"/>
      <c r="F47" s="52" t="n"/>
      <c r="G47" s="52" t="n"/>
      <c r="H47" s="52" t="n"/>
      <c r="I47" s="52" t="n"/>
      <c r="J47" s="52" t="n"/>
      <c r="K47" s="52" t="n"/>
      <c r="L47" s="52" t="n"/>
    </row>
    <row r="48" ht="12" customHeight="1">
      <c r="A48" s="27" t="n"/>
      <c r="B48" s="27" t="n"/>
      <c r="C48" s="52" t="n"/>
      <c r="D48" s="52" t="n"/>
      <c r="E48" s="52" t="n"/>
      <c r="F48" s="52" t="n"/>
      <c r="G48" s="52" t="n"/>
      <c r="H48" s="52" t="n"/>
      <c r="I48" s="52" t="n"/>
      <c r="J48" s="52" t="n"/>
      <c r="K48" s="52" t="n"/>
      <c r="L48" s="52" t="n"/>
    </row>
    <row r="49" ht="12" customHeight="1">
      <c r="A49" s="53" t="inlineStr">
        <is>
          <t>E — Electrical
RELEASE STORED ENERGY
Main electrical disconnect</t>
        </is>
      </c>
      <c r="B49" s="19" t="n"/>
      <c r="C49" s="54" t="inlineStr">
        <is>
          <t>ELECTRICAL - Allow VFD/servo DC-bus capacitors to discharge before contact (minimum 5 minutes, or per nameplate). [VERIFY ON SITE: drive discharge time]</t>
        </is>
      </c>
      <c r="D49" s="55" t="n"/>
      <c r="E49" s="55" t="n"/>
      <c r="F49" s="55" t="n"/>
      <c r="G49" s="55" t="n"/>
      <c r="H49" s="54" t="n"/>
      <c r="I49" s="55" t="n"/>
      <c r="J49" s="55" t="n"/>
      <c r="K49" s="55" t="n"/>
      <c r="L49" s="55" t="n"/>
    </row>
    <row r="50" ht="12" customHeight="1">
      <c r="A50" s="19" t="n"/>
      <c r="B50" s="19" t="n"/>
      <c r="C50" s="55" t="n"/>
      <c r="D50" s="55" t="n"/>
      <c r="E50" s="55" t="n"/>
      <c r="F50" s="55" t="n"/>
      <c r="G50" s="55" t="n"/>
      <c r="H50" s="55" t="n"/>
      <c r="I50" s="55" t="n"/>
      <c r="J50" s="55" t="n"/>
      <c r="K50" s="55" t="n"/>
      <c r="L50" s="55" t="n"/>
    </row>
    <row r="51" ht="12" customHeight="1">
      <c r="A51" s="19" t="n"/>
      <c r="B51" s="19" t="n"/>
      <c r="C51" s="55" t="n"/>
      <c r="D51" s="55" t="n"/>
      <c r="E51" s="55" t="n"/>
      <c r="F51" s="55" t="n"/>
      <c r="G51" s="55" t="n"/>
      <c r="H51" s="55" t="n"/>
      <c r="I51" s="55" t="n"/>
      <c r="J51" s="55" t="n"/>
      <c r="K51" s="55" t="n"/>
      <c r="L51" s="55" t="n"/>
    </row>
    <row r="52" ht="12" customHeight="1">
      <c r="A52" s="56" t="inlineStr">
        <is>
          <t>H — Hydraulic
RELEASE STORED ENERGY
Hydraulic isolation valve</t>
        </is>
      </c>
      <c r="B52" s="23" t="n"/>
      <c r="C52" s="51" t="inlineStr">
        <is>
          <t>HYDRAULIC - Relieve hydraulic pressure to 0 AND block any gravity-loaded member (ram, bowl, carriage) before work. [VERIFY ON SITE: blocking method]</t>
        </is>
      </c>
      <c r="D52" s="52" t="n"/>
      <c r="E52" s="52" t="n"/>
      <c r="F52" s="52" t="n"/>
      <c r="G52" s="52" t="n"/>
      <c r="H52" s="51" t="n"/>
      <c r="I52" s="52" t="n"/>
      <c r="J52" s="52" t="n"/>
      <c r="K52" s="52" t="n"/>
      <c r="L52" s="52" t="n"/>
    </row>
    <row r="53" ht="12" customHeight="1">
      <c r="A53" s="23" t="n"/>
      <c r="B53" s="23" t="n"/>
      <c r="C53" s="52" t="n"/>
      <c r="D53" s="52" t="n"/>
      <c r="E53" s="52" t="n"/>
      <c r="F53" s="52" t="n"/>
      <c r="G53" s="52" t="n"/>
      <c r="H53" s="52" t="n"/>
      <c r="I53" s="52" t="n"/>
      <c r="J53" s="52" t="n"/>
      <c r="K53" s="52" t="n"/>
      <c r="L53" s="52" t="n"/>
    </row>
    <row r="54" ht="12" customHeight="1">
      <c r="A54" s="23" t="n"/>
      <c r="B54" s="23" t="n"/>
      <c r="C54" s="52" t="n"/>
      <c r="D54" s="52" t="n"/>
      <c r="E54" s="52" t="n"/>
      <c r="F54" s="52" t="n"/>
      <c r="G54" s="52" t="n"/>
      <c r="H54" s="52" t="n"/>
      <c r="I54" s="52" t="n"/>
      <c r="J54" s="52" t="n"/>
      <c r="K54" s="52" t="n"/>
      <c r="L54" s="52" t="n"/>
    </row>
    <row r="55" ht="12" customHeight="1">
      <c r="A55" s="57" t="inlineStr">
        <is>
          <t>P — Pneumatic
RELEASE STORED ENERGY
Air-supply isolation valve</t>
        </is>
      </c>
      <c r="B55" s="25" t="n"/>
      <c r="C55" s="54" t="inlineStr">
        <is>
          <t>PNEUMATIC - Bleed trapped air downstream of the isolation valve to 0 psi; account for spring-return and vacuum-held actuators.</t>
        </is>
      </c>
      <c r="D55" s="55" t="n"/>
      <c r="E55" s="55" t="n"/>
      <c r="F55" s="55" t="n"/>
      <c r="G55" s="55" t="n"/>
      <c r="H55" s="54" t="n"/>
      <c r="I55" s="55" t="n"/>
      <c r="J55" s="55" t="n"/>
      <c r="K55" s="55" t="n"/>
      <c r="L55" s="55" t="n"/>
    </row>
    <row r="56" ht="12" customHeight="1">
      <c r="A56" s="25" t="n"/>
      <c r="B56" s="25" t="n"/>
      <c r="C56" s="55" t="n"/>
      <c r="D56" s="55" t="n"/>
      <c r="E56" s="55" t="n"/>
      <c r="F56" s="55" t="n"/>
      <c r="G56" s="55" t="n"/>
      <c r="H56" s="55" t="n"/>
      <c r="I56" s="55" t="n"/>
      <c r="J56" s="55" t="n"/>
      <c r="K56" s="55" t="n"/>
      <c r="L56" s="55" t="n"/>
    </row>
    <row r="57" ht="12" customHeight="1">
      <c r="A57" s="25" t="n"/>
      <c r="B57" s="25" t="n"/>
      <c r="C57" s="55" t="n"/>
      <c r="D57" s="55" t="n"/>
      <c r="E57" s="55" t="n"/>
      <c r="F57" s="55" t="n"/>
      <c r="G57" s="55" t="n"/>
      <c r="H57" s="55" t="n"/>
      <c r="I57" s="55" t="n"/>
      <c r="J57" s="55" t="n"/>
      <c r="K57" s="55" t="n"/>
      <c r="L57" s="55" t="n"/>
    </row>
    <row r="58" ht="12" customHeight="1">
      <c r="A58" s="58" t="inlineStr">
        <is>
          <t>M — Mechanical
RELEASE STORED ENERGY
Drive brake / rotating parts</t>
        </is>
      </c>
      <c r="B58" s="27" t="n"/>
      <c r="C58" s="51" t="inlineStr">
        <is>
          <t>MECHANICAL - Allow all rotating or coasting parts (motors, fans, flywheels, blades, rollers) to come to a complete stop.</t>
        </is>
      </c>
      <c r="D58" s="52" t="n"/>
      <c r="E58" s="52" t="n"/>
      <c r="F58" s="52" t="n"/>
      <c r="G58" s="52" t="n"/>
      <c r="H58" s="51" t="n"/>
      <c r="I58" s="52" t="n"/>
      <c r="J58" s="52" t="n"/>
      <c r="K58" s="52" t="n"/>
      <c r="L58" s="52" t="n"/>
    </row>
    <row r="59" ht="12" customHeight="1">
      <c r="A59" s="27" t="n"/>
      <c r="B59" s="27" t="n"/>
      <c r="C59" s="52" t="n"/>
      <c r="D59" s="52" t="n"/>
      <c r="E59" s="52" t="n"/>
      <c r="F59" s="52" t="n"/>
      <c r="G59" s="52" t="n"/>
      <c r="H59" s="52" t="n"/>
      <c r="I59" s="52" t="n"/>
      <c r="J59" s="52" t="n"/>
      <c r="K59" s="52" t="n"/>
      <c r="L59" s="52" t="n"/>
    </row>
    <row r="60" ht="12" customHeight="1">
      <c r="A60" s="27" t="n"/>
      <c r="B60" s="27" t="n"/>
      <c r="C60" s="52" t="n"/>
      <c r="D60" s="52" t="n"/>
      <c r="E60" s="52" t="n"/>
      <c r="F60" s="52" t="n"/>
      <c r="G60" s="52" t="n"/>
      <c r="H60" s="52" t="n"/>
      <c r="I60" s="52" t="n"/>
      <c r="J60" s="52" t="n"/>
      <c r="K60" s="52" t="n"/>
      <c r="L60" s="52" t="n"/>
    </row>
    <row r="61" ht="12" customHeight="1">
      <c r="A61" s="49" t="inlineStr">
        <is>
          <t>N — None
LOCKOUT
All isolation devices listed above</t>
        </is>
      </c>
      <c r="B61" s="50" t="n"/>
      <c r="C61" s="54" t="inlineStr">
        <is>
          <t>Apply an assigned lock AND a durable tag at EACH isolating device listed above. Each authorized worker applies their own lock (group lockout where required).</t>
        </is>
      </c>
      <c r="D61" s="55" t="n"/>
      <c r="E61" s="55" t="n"/>
      <c r="F61" s="55" t="n"/>
      <c r="G61" s="55" t="n"/>
      <c r="H61" s="54" t="n"/>
      <c r="I61" s="55" t="n"/>
      <c r="J61" s="55" t="n"/>
      <c r="K61" s="55" t="n"/>
      <c r="L61" s="55" t="n"/>
    </row>
    <row r="62" ht="12" customHeight="1">
      <c r="A62" s="50" t="n"/>
      <c r="B62" s="50" t="n"/>
      <c r="C62" s="55" t="n"/>
      <c r="D62" s="55" t="n"/>
      <c r="E62" s="55" t="n"/>
      <c r="F62" s="55" t="n"/>
      <c r="G62" s="55" t="n"/>
      <c r="H62" s="55" t="n"/>
      <c r="I62" s="55" t="n"/>
      <c r="J62" s="55" t="n"/>
      <c r="K62" s="55" t="n"/>
      <c r="L62" s="55" t="n"/>
    </row>
    <row r="63" ht="12" customHeight="1">
      <c r="A63" s="50" t="n"/>
      <c r="B63" s="50" t="n"/>
      <c r="C63" s="55" t="n"/>
      <c r="D63" s="55" t="n"/>
      <c r="E63" s="55" t="n"/>
      <c r="F63" s="55" t="n"/>
      <c r="G63" s="55" t="n"/>
      <c r="H63" s="55" t="n"/>
      <c r="I63" s="55" t="n"/>
      <c r="J63" s="55" t="n"/>
      <c r="K63" s="55" t="n"/>
      <c r="L63" s="55" t="n"/>
    </row>
    <row r="64" ht="12" customHeight="1">
      <c r="A64" s="53" t="inlineStr">
        <is>
          <t>E — Electrical
VERIFY ZERO ENERGY
Main electrical disconnect</t>
        </is>
      </c>
      <c r="B64" s="19" t="n"/>
      <c r="C64" s="51" t="inlineStr">
        <is>
          <t>ELECTRICAL - With a calibrated meter, verify 0 V on the load side of the disconnect, phase-to-phase and phase-to-ground (test the meter on a known live source first and after).</t>
        </is>
      </c>
      <c r="D64" s="52" t="n"/>
      <c r="E64" s="52" t="n"/>
      <c r="F64" s="52" t="n"/>
      <c r="G64" s="52" t="n"/>
      <c r="H64" s="51" t="inlineStr">
        <is>
          <t>ELECTRICAL - With a calibrated meter, verify 0 V on the load side of the disconnect, phase-to-phase and phase-to-ground (test the meter on a known live source first and after).</t>
        </is>
      </c>
      <c r="I64" s="52" t="n"/>
      <c r="J64" s="52" t="n"/>
      <c r="K64" s="52" t="n"/>
      <c r="L64" s="52" t="n"/>
    </row>
    <row r="65" ht="12" customHeight="1">
      <c r="A65" s="19" t="n"/>
      <c r="B65" s="19" t="n"/>
      <c r="C65" s="52" t="n"/>
      <c r="D65" s="52" t="n"/>
      <c r="E65" s="52" t="n"/>
      <c r="F65" s="52" t="n"/>
      <c r="G65" s="52" t="n"/>
      <c r="H65" s="52" t="n"/>
      <c r="I65" s="52" t="n"/>
      <c r="J65" s="52" t="n"/>
      <c r="K65" s="52" t="n"/>
      <c r="L65" s="52" t="n"/>
    </row>
    <row r="66" ht="12" customHeight="1">
      <c r="A66" s="19" t="n"/>
      <c r="B66" s="19" t="n"/>
      <c r="C66" s="52" t="n"/>
      <c r="D66" s="52" t="n"/>
      <c r="E66" s="52" t="n"/>
      <c r="F66" s="52" t="n"/>
      <c r="G66" s="52" t="n"/>
      <c r="H66" s="52" t="n"/>
      <c r="I66" s="52" t="n"/>
      <c r="J66" s="52" t="n"/>
      <c r="K66" s="52" t="n"/>
      <c r="L66" s="52" t="n"/>
    </row>
    <row r="67" ht="12" customHeight="1">
      <c r="A67" s="56" t="inlineStr">
        <is>
          <t>H — Hydraulic
VERIFY ZERO ENERGY
Hydraulic isolation valve</t>
        </is>
      </c>
      <c r="B67" s="23" t="n"/>
      <c r="C67" s="54" t="inlineStr">
        <is>
          <t>HYDRAULIC - Confirm the hydraulic gauge reads 0 and the gravity-loaded member is physically blocked.</t>
        </is>
      </c>
      <c r="D67" s="55" t="n"/>
      <c r="E67" s="55" t="n"/>
      <c r="F67" s="55" t="n"/>
      <c r="G67" s="55" t="n"/>
      <c r="H67" s="54" t="inlineStr">
        <is>
          <t>HYDRAULIC - Confirm the hydraulic gauge reads 0 and the gravity-loaded member is physically blocked.</t>
        </is>
      </c>
      <c r="I67" s="55" t="n"/>
      <c r="J67" s="55" t="n"/>
      <c r="K67" s="55" t="n"/>
      <c r="L67" s="55" t="n"/>
    </row>
    <row r="68" ht="12" customHeight="1">
      <c r="A68" s="23" t="n"/>
      <c r="B68" s="23" t="n"/>
      <c r="C68" s="55" t="n"/>
      <c r="D68" s="55" t="n"/>
      <c r="E68" s="55" t="n"/>
      <c r="F68" s="55" t="n"/>
      <c r="G68" s="55" t="n"/>
      <c r="H68" s="55" t="n"/>
      <c r="I68" s="55" t="n"/>
      <c r="J68" s="55" t="n"/>
      <c r="K68" s="55" t="n"/>
      <c r="L68" s="55" t="n"/>
    </row>
    <row r="69" ht="12" customHeight="1">
      <c r="A69" s="23" t="n"/>
      <c r="B69" s="23" t="n"/>
      <c r="C69" s="55" t="n"/>
      <c r="D69" s="55" t="n"/>
      <c r="E69" s="55" t="n"/>
      <c r="F69" s="55" t="n"/>
      <c r="G69" s="55" t="n"/>
      <c r="H69" s="55" t="n"/>
      <c r="I69" s="55" t="n"/>
      <c r="J69" s="55" t="n"/>
      <c r="K69" s="55" t="n"/>
      <c r="L69" s="55" t="n"/>
    </row>
    <row r="70" ht="12" customHeight="1">
      <c r="A70" s="57" t="inlineStr">
        <is>
          <t>P — Pneumatic
VERIFY ZERO ENERGY
Air-supply isolation valve</t>
        </is>
      </c>
      <c r="B70" s="25" t="n"/>
      <c r="C70" s="51" t="inlineStr">
        <is>
          <t>PNEUMATIC - Confirm the downstream air gauge reads 0 psi.</t>
        </is>
      </c>
      <c r="D70" s="52" t="n"/>
      <c r="E70" s="52" t="n"/>
      <c r="F70" s="52" t="n"/>
      <c r="G70" s="52" t="n"/>
      <c r="H70" s="51" t="inlineStr">
        <is>
          <t>PNEUMATIC - Confirm the downstream air gauge reads 0 psi.</t>
        </is>
      </c>
      <c r="I70" s="52" t="n"/>
      <c r="J70" s="52" t="n"/>
      <c r="K70" s="52" t="n"/>
      <c r="L70" s="52" t="n"/>
    </row>
    <row r="71" ht="12" customHeight="1">
      <c r="A71" s="25" t="n"/>
      <c r="B71" s="25" t="n"/>
      <c r="C71" s="52" t="n"/>
      <c r="D71" s="52" t="n"/>
      <c r="E71" s="52" t="n"/>
      <c r="F71" s="52" t="n"/>
      <c r="G71" s="52" t="n"/>
      <c r="H71" s="52" t="n"/>
      <c r="I71" s="52" t="n"/>
      <c r="J71" s="52" t="n"/>
      <c r="K71" s="52" t="n"/>
      <c r="L71" s="52" t="n"/>
    </row>
    <row r="72" ht="12" customHeight="1">
      <c r="A72" s="25" t="n"/>
      <c r="B72" s="25" t="n"/>
      <c r="C72" s="52" t="n"/>
      <c r="D72" s="52" t="n"/>
      <c r="E72" s="52" t="n"/>
      <c r="F72" s="52" t="n"/>
      <c r="G72" s="52" t="n"/>
      <c r="H72" s="52" t="n"/>
      <c r="I72" s="52" t="n"/>
      <c r="J72" s="52" t="n"/>
      <c r="K72" s="52" t="n"/>
      <c r="L72" s="52" t="n"/>
    </row>
    <row r="73" ht="12" customHeight="1">
      <c r="A73" s="49" t="inlineStr">
        <is>
          <t>N — None
VERIFY ZERO ENERGY
Tryout at operating controls</t>
        </is>
      </c>
      <c r="B73" s="50" t="n"/>
      <c r="C73" s="54" t="inlineStr">
        <is>
          <t>Attempt to start the machine from its normal controls to confirm no response, then return all controls to OFF / neutral.</t>
        </is>
      </c>
      <c r="D73" s="55" t="n"/>
      <c r="E73" s="55" t="n"/>
      <c r="F73" s="55" t="n"/>
      <c r="G73" s="55" t="n"/>
      <c r="H73" s="54" t="inlineStr">
        <is>
          <t>Attempt to start the machine from its normal controls to confirm no response, then return all controls to OFF / neutral.</t>
        </is>
      </c>
      <c r="I73" s="55" t="n"/>
      <c r="J73" s="55" t="n"/>
      <c r="K73" s="55" t="n"/>
      <c r="L73" s="55" t="n"/>
    </row>
    <row r="74" ht="12" customHeight="1">
      <c r="A74" s="50" t="n"/>
      <c r="B74" s="50" t="n"/>
      <c r="C74" s="55" t="n"/>
      <c r="D74" s="55" t="n"/>
      <c r="E74" s="55" t="n"/>
      <c r="F74" s="55" t="n"/>
      <c r="G74" s="55" t="n"/>
      <c r="H74" s="55" t="n"/>
      <c r="I74" s="55" t="n"/>
      <c r="J74" s="55" t="n"/>
      <c r="K74" s="55" t="n"/>
      <c r="L74" s="55" t="n"/>
    </row>
    <row r="75" ht="12" customHeight="1">
      <c r="A75" s="50" t="n"/>
      <c r="B75" s="50" t="n"/>
      <c r="C75" s="55" t="n"/>
      <c r="D75" s="55" t="n"/>
      <c r="E75" s="55" t="n"/>
      <c r="F75" s="55" t="n"/>
      <c r="G75" s="55" t="n"/>
      <c r="H75" s="55" t="n"/>
      <c r="I75" s="55" t="n"/>
      <c r="J75" s="55" t="n"/>
      <c r="K75" s="55" t="n"/>
      <c r="L75" s="55" t="n"/>
    </row>
    <row r="76" ht="13" customHeight="1">
      <c r="A76" s="17" t="inlineStr">
        <is>
          <t>LOCKOUT REMOVAL PROCESS</t>
        </is>
      </c>
      <c r="B76" s="13" t="n"/>
      <c r="C76" s="13" t="n"/>
      <c r="D76" s="13" t="n"/>
      <c r="E76" s="13" t="n"/>
      <c r="F76" s="13" t="n"/>
      <c r="G76" s="13" t="n"/>
      <c r="H76" s="13" t="n"/>
      <c r="I76" s="13" t="n"/>
      <c r="J76" s="13" t="n"/>
      <c r="K76" s="13" t="n"/>
      <c r="L76" s="13" t="n"/>
    </row>
    <row r="77" ht="12" customHeight="1">
      <c r="A77" s="59" t="inlineStr">
        <is>
          <t>1. Notify all AFFECTED employees that lockout is being removed
2. Inspect the work area to ensure tools and items have been removed
3. Verify that all employees are clear of the equipment
4. Verify that controls are in the neutral or off position</t>
        </is>
      </c>
      <c r="G77" s="59" t="inlineStr">
        <is>
          <t>5. Remove lockout devices, locks, and tags
6. Re-energize the equipment
7. Notify all AFFECTED employees that the equipment is back in service</t>
        </is>
      </c>
    </row>
    <row r="78" ht="12" customHeight="1"/>
    <row r="79" ht="12" customHeight="1"/>
    <row r="80" ht="12" customHeight="1"/>
    <row r="81" ht="9" customHeight="1">
      <c r="A81" s="60" t="inlineStr">
        <is>
          <t>Spanish translation on reverse — print double-sided.</t>
        </is>
      </c>
    </row>
    <row r="82" ht="18" customHeight="1">
      <c r="A82" s="61" t="inlineStr">
        <is>
          <t>Signature</t>
        </is>
      </c>
      <c r="B82" s="62" t="n"/>
      <c r="C82" s="62" t="n"/>
      <c r="D82" s="61" t="inlineStr">
        <is>
          <t>Date</t>
        </is>
      </c>
      <c r="E82" s="62" t="n"/>
      <c r="F82" s="62" t="n"/>
      <c r="G82" s="61" t="inlineStr">
        <is>
          <t>Dept</t>
        </is>
      </c>
      <c r="H82" s="62" t="n"/>
      <c r="I82" s="62" t="n"/>
      <c r="J82" s="61" t="inlineStr">
        <is>
          <t>See PM Store in PT Folder</t>
        </is>
      </c>
      <c r="K82" s="62" t="n"/>
      <c r="L82" s="62" t="n"/>
    </row>
    <row r="83"/>
    <row r="84" ht="24" customHeight="1">
      <c r="A84" s="6" t="inlineStr">
        <is>
          <t>PROCEDIMIENTO DE BLOQUEO/ETIQUETADO</t>
        </is>
      </c>
      <c r="B84" s="7" t="n"/>
      <c r="C84" s="7" t="n"/>
      <c r="D84" s="7" t="n"/>
      <c r="E84" s="7" t="n"/>
      <c r="F84" s="7" t="n"/>
      <c r="G84" s="7" t="n"/>
      <c r="H84" s="7" t="n"/>
      <c r="I84" s="7" t="n"/>
      <c r="J84" s="7" t="n"/>
      <c r="K84" s="7" t="n"/>
      <c r="L84" s="7" t="n"/>
    </row>
    <row r="85" ht="12" customHeight="1">
      <c r="A85" s="8" t="inlineStr">
        <is>
          <t>[ES]   Fecha: 2026-08-29   ·   Escanee para placa digital</t>
        </is>
      </c>
      <c r="B85" s="7" t="n"/>
      <c r="C85" s="7" t="n"/>
      <c r="D85" s="7" t="n"/>
      <c r="E85" s="7" t="n"/>
      <c r="F85" s="7" t="n"/>
      <c r="G85" s="7" t="n"/>
      <c r="H85" s="7" t="n"/>
      <c r="I85" s="7" t="n"/>
      <c r="J85" s="7" t="n"/>
      <c r="K85" s="7" t="n"/>
      <c r="L85" s="7" t="n"/>
    </row>
    <row r="86" ht="13" customHeight="1">
      <c r="A86" s="63" t="inlineStr">
        <is>
          <t>BORRADOR — NO REVISADO  ·  traducción sin revisar</t>
        </is>
      </c>
      <c r="B86" s="64" t="n"/>
      <c r="C86" s="64" t="n"/>
      <c r="D86" s="64" t="n"/>
      <c r="E86" s="64" t="n"/>
      <c r="F86" s="64" t="n"/>
      <c r="G86" s="64" t="n"/>
      <c r="H86" s="64" t="n"/>
      <c r="I86" s="64" t="n"/>
      <c r="J86" s="64" t="n"/>
      <c r="K86" s="64" t="n"/>
      <c r="L86" s="64" t="n"/>
    </row>
    <row r="87" ht="16" customHeight="1">
      <c r="A87" s="9" t="inlineStr">
        <is>
          <t>EQUIPO: 302-MX-1 (Shaffer Masa Mixer - Line 302 Tortilla)</t>
        </is>
      </c>
      <c r="B87" s="10" t="n"/>
      <c r="C87" s="10" t="n"/>
      <c r="D87" s="10" t="n"/>
      <c r="E87" s="10" t="n"/>
      <c r="F87" s="10" t="n"/>
      <c r="G87" s="10" t="n"/>
      <c r="H87" s="10" t="n"/>
      <c r="I87" s="11" t="inlineStr">
        <is>
          <t>Mixers</t>
        </is>
      </c>
      <c r="J87" s="10" t="n"/>
      <c r="K87" s="10" t="n"/>
      <c r="L87" s="10" t="n"/>
    </row>
    <row r="88" ht="14" customHeight="1">
      <c r="A88" s="12" t="inlineStr">
        <is>
          <t>¡MANTÉNGASE ALEJADO! VOLTAJE PELIGROSO Y PIEZAS EN MOVIMIENTO</t>
        </is>
      </c>
      <c r="B88" s="13" t="n"/>
      <c r="C88" s="13" t="n"/>
      <c r="D88" s="13" t="n"/>
      <c r="E88" s="13" t="n"/>
      <c r="F88" s="13" t="n"/>
      <c r="G88" s="13" t="n"/>
      <c r="H88" s="13" t="n"/>
      <c r="I88" s="13" t="n"/>
      <c r="J88" s="13" t="n"/>
      <c r="K88" s="13" t="n"/>
      <c r="L88" s="13" t="n"/>
    </row>
    <row r="89" ht="12" customHeight="1">
      <c r="A89" s="14" t="inlineStr">
        <is>
          <t>PHOTO_UPGRADE 2026-05-13: Moved from canonical 302-MX-1-EQ/IP to machine-specific dated captures from 2026-04-20 (iso_05 chosen for highest resolution among 8 variants).</t>
        </is>
      </c>
      <c r="B89" s="13" t="n"/>
      <c r="C89" s="13" t="n"/>
      <c r="D89" s="13" t="n"/>
      <c r="E89" s="13" t="n"/>
      <c r="F89" s="13" t="n"/>
      <c r="G89" s="13" t="n"/>
      <c r="H89" s="13" t="n"/>
      <c r="I89" s="13" t="n"/>
      <c r="J89" s="13" t="n"/>
      <c r="K89" s="13" t="n"/>
      <c r="L89" s="13" t="n"/>
    </row>
    <row r="90" ht="12" customHeight="1">
      <c r="A90" s="15" t="inlineStr">
        <is>
          <t>PROPÓSITO</t>
        </is>
      </c>
      <c r="H90" s="15" t="inlineStr">
        <is>
          <t>PROCESO DE APLICACIÓN DE BLOQUEO</t>
        </is>
      </c>
    </row>
    <row r="91" ht="12" customHeight="1">
      <c r="A9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2" ht="12" customHeight="1"/>
    <row r="93" ht="12" customHeight="1"/>
    <row r="94" ht="12" customHeight="1"/>
    <row r="95" ht="12" customHeight="1"/>
    <row r="96" ht="12" customHeight="1"/>
    <row r="97" ht="12" customHeight="1"/>
    <row r="98" ht="14" customHeight="1">
      <c r="A98" s="17" t="inlineStr">
        <is>
          <t>CÓDIGOS DE COLOR</t>
        </is>
      </c>
      <c r="B98" s="13" t="n"/>
      <c r="C98" s="13" t="n"/>
      <c r="D98" s="13" t="n"/>
      <c r="E98" s="13" t="n"/>
      <c r="F98" s="13" t="n"/>
      <c r="G98" s="13" t="n"/>
      <c r="H98" s="13" t="n"/>
      <c r="I98" s="13" t="n"/>
      <c r="J98" s="13" t="n"/>
      <c r="K98" s="13" t="n"/>
      <c r="L98" s="13" t="n"/>
    </row>
    <row r="99" ht="12" customHeight="1">
      <c r="A99" s="18" t="inlineStr">
        <is>
          <t>E = Eléctrico</t>
        </is>
      </c>
      <c r="B99" s="19" t="n"/>
      <c r="C99" s="20" t="inlineStr">
        <is>
          <t>G = Gas</t>
        </is>
      </c>
      <c r="D99" s="21" t="n"/>
      <c r="E99" s="22" t="inlineStr">
        <is>
          <t>H = Hidráulico</t>
        </is>
      </c>
      <c r="F99" s="23" t="n"/>
      <c r="G99" s="24" t="inlineStr">
        <is>
          <t>P = Neumático</t>
        </is>
      </c>
      <c r="H99" s="25" t="n"/>
      <c r="I99" s="26" t="inlineStr">
        <is>
          <t>M = Mecánico</t>
        </is>
      </c>
      <c r="J99" s="27" t="n"/>
      <c r="K99" s="28" t="inlineStr">
        <is>
          <t>T = Térmico</t>
        </is>
      </c>
      <c r="L99" s="29" t="n"/>
    </row>
    <row r="100" ht="12" customHeight="1">
      <c r="A100" s="30" t="inlineStr">
        <is>
          <t>W = Agua</t>
        </is>
      </c>
      <c r="B100" s="31" t="n"/>
      <c r="C100" s="32" t="inlineStr">
        <is>
          <t>S = Vapor</t>
        </is>
      </c>
      <c r="D100" s="33" t="n"/>
      <c r="E100" s="34" t="inlineStr">
        <is>
          <t>V = Válvula</t>
        </is>
      </c>
      <c r="F100" s="35" t="n"/>
      <c r="G100" s="36" t="inlineStr">
        <is>
          <t>CG = Gas Comprimido</t>
        </is>
      </c>
      <c r="H100" s="37" t="n"/>
      <c r="I100" s="38" t="inlineStr">
        <is>
          <t>CP = Panel Control</t>
        </is>
      </c>
      <c r="J100" s="39" t="n"/>
      <c r="K100" s="40" t="inlineStr">
        <is>
          <t>GR = Gravedad</t>
        </is>
      </c>
      <c r="L100" s="41" t="n"/>
    </row>
    <row r="101" ht="14" customHeight="1">
      <c r="A101" s="42" t="inlineStr">
        <is>
          <t>IDENTIFICACIÓN DEL EQUIPO Y PROCEDIMIENTO DE AISLAMIENTO DE ENERGÍA</t>
        </is>
      </c>
      <c r="B101" s="43" t="n"/>
      <c r="C101" s="43" t="n"/>
      <c r="D101" s="43" t="n"/>
      <c r="E101" s="43" t="n"/>
      <c r="F101" s="43" t="n"/>
      <c r="G101" s="43" t="n"/>
      <c r="H101" s="43" t="n"/>
      <c r="I101" s="43" t="n"/>
      <c r="J101" s="43" t="n"/>
      <c r="K101" s="43" t="n"/>
      <c r="L101" s="43" t="n"/>
    </row>
    <row r="102" ht="14" customHeight="1">
      <c r="A102" s="44" t="n"/>
      <c r="B102" s="45" t="n"/>
      <c r="C102" s="45" t="n"/>
      <c r="D102" s="45" t="n"/>
      <c r="E102" s="45" t="n"/>
      <c r="F102" s="45" t="n"/>
      <c r="G102" s="44"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4" customHeight="1">
      <c r="A104" s="45" t="n"/>
      <c r="B104" s="45" t="n"/>
      <c r="C104" s="45" t="n"/>
      <c r="D104" s="45" t="n"/>
      <c r="E104" s="45" t="n"/>
      <c r="F104" s="45" t="n"/>
      <c r="G104" s="45" t="n"/>
      <c r="H104" s="45" t="n"/>
      <c r="I104" s="45" t="n"/>
      <c r="J104" s="45" t="n"/>
      <c r="K104" s="45" t="n"/>
      <c r="L104" s="45" t="n"/>
    </row>
    <row r="105" ht="14" customHeight="1">
      <c r="A105" s="45" t="n"/>
      <c r="B105" s="45" t="n"/>
      <c r="C105" s="45" t="n"/>
      <c r="D105" s="45" t="n"/>
      <c r="E105" s="45" t="n"/>
      <c r="F105" s="45" t="n"/>
      <c r="G105" s="45" t="n"/>
      <c r="H105" s="45" t="n"/>
      <c r="I105" s="45" t="n"/>
      <c r="J105" s="45" t="n"/>
      <c r="K105" s="45" t="n"/>
      <c r="L105" s="45" t="n"/>
    </row>
    <row r="106" ht="14" customHeight="1">
      <c r="A106" s="45" t="n"/>
      <c r="B106" s="45" t="n"/>
      <c r="C106" s="45" t="n"/>
      <c r="D106" s="45" t="n"/>
      <c r="E106" s="45" t="n"/>
      <c r="F106" s="45" t="n"/>
      <c r="G106" s="45" t="n"/>
      <c r="H106" s="45" t="n"/>
      <c r="I106" s="45" t="n"/>
      <c r="J106" s="45" t="n"/>
      <c r="K106" s="45" t="n"/>
      <c r="L106" s="45" t="n"/>
    </row>
    <row r="107" ht="14" customHeight="1">
      <c r="A107" s="45" t="n"/>
      <c r="B107" s="45" t="n"/>
      <c r="C107" s="45" t="n"/>
      <c r="D107" s="45" t="n"/>
      <c r="E107" s="45" t="n"/>
      <c r="F107" s="45" t="n"/>
      <c r="G107" s="45" t="n"/>
      <c r="H107" s="45" t="n"/>
      <c r="I107" s="45" t="n"/>
      <c r="J107" s="45" t="n"/>
      <c r="K107" s="45" t="n"/>
      <c r="L107" s="45" t="n"/>
    </row>
    <row r="108" ht="14" customHeight="1">
      <c r="A108" s="45" t="n"/>
      <c r="B108" s="45" t="n"/>
      <c r="C108" s="45" t="n"/>
      <c r="D108" s="45" t="n"/>
      <c r="E108" s="45" t="n"/>
      <c r="F108" s="45" t="n"/>
      <c r="G108" s="45" t="n"/>
      <c r="H108" s="45" t="n"/>
      <c r="I108" s="45" t="n"/>
      <c r="J108" s="45" t="n"/>
      <c r="K108" s="45" t="n"/>
      <c r="L108" s="45" t="n"/>
    </row>
    <row r="109" ht="14" customHeight="1">
      <c r="A109" s="45" t="n"/>
      <c r="B109" s="45" t="n"/>
      <c r="C109" s="45" t="n"/>
      <c r="D109" s="45" t="n"/>
      <c r="E109" s="45" t="n"/>
      <c r="F109" s="45" t="n"/>
      <c r="G109" s="45" t="n"/>
      <c r="H109" s="45" t="n"/>
      <c r="I109" s="45" t="n"/>
      <c r="J109" s="45" t="n"/>
      <c r="K109" s="45" t="n"/>
      <c r="L109" s="45" t="n"/>
    </row>
    <row r="110" ht="14" customHeight="1">
      <c r="A110" s="45" t="n"/>
      <c r="B110" s="45" t="n"/>
      <c r="C110" s="45" t="n"/>
      <c r="D110" s="45" t="n"/>
      <c r="E110" s="45" t="n"/>
      <c r="F110" s="45" t="n"/>
      <c r="G110" s="45" t="n"/>
      <c r="H110" s="45" t="n"/>
      <c r="I110" s="45" t="n"/>
      <c r="J110" s="45" t="n"/>
      <c r="K110" s="45" t="n"/>
      <c r="L110" s="45" t="n"/>
    </row>
    <row r="111" ht="14" customHeight="1">
      <c r="A111" s="45" t="n"/>
      <c r="B111" s="45" t="n"/>
      <c r="C111" s="45" t="n"/>
      <c r="D111" s="45" t="n"/>
      <c r="E111" s="45" t="n"/>
      <c r="F111" s="45" t="n"/>
      <c r="G111" s="45" t="n"/>
      <c r="H111" s="45" t="n"/>
      <c r="I111" s="45" t="n"/>
      <c r="J111" s="45" t="n"/>
      <c r="K111" s="45" t="n"/>
      <c r="L111" s="45" t="n"/>
    </row>
    <row r="112" ht="14" customHeight="1">
      <c r="A112" s="45" t="n"/>
      <c r="B112" s="45" t="n"/>
      <c r="C112" s="45" t="n"/>
      <c r="D112" s="45" t="n"/>
      <c r="E112" s="45" t="n"/>
      <c r="F112" s="45" t="n"/>
      <c r="G112" s="45" t="n"/>
      <c r="H112" s="45" t="n"/>
      <c r="I112" s="45" t="n"/>
      <c r="J112" s="45" t="n"/>
      <c r="K112" s="45" t="n"/>
      <c r="L112" s="45" t="n"/>
    </row>
    <row r="113" ht="14" customHeight="1">
      <c r="A113" s="45" t="n"/>
      <c r="B113" s="45" t="n"/>
      <c r="C113" s="45" t="n"/>
      <c r="D113" s="45" t="n"/>
      <c r="E113" s="45" t="n"/>
      <c r="F113" s="45" t="n"/>
      <c r="G113" s="45" t="n"/>
      <c r="H113" s="45" t="n"/>
      <c r="I113" s="45" t="n"/>
      <c r="J113" s="45" t="n"/>
      <c r="K113" s="45" t="n"/>
      <c r="L113" s="45" t="n"/>
    </row>
    <row r="114" ht="14" customHeight="1">
      <c r="A114" s="45" t="n"/>
      <c r="B114" s="45" t="n"/>
      <c r="C114" s="45" t="n"/>
      <c r="D114" s="45" t="n"/>
      <c r="E114" s="45" t="n"/>
      <c r="F114" s="45" t="n"/>
      <c r="G114" s="45" t="n"/>
      <c r="H114" s="45" t="n"/>
      <c r="I114" s="45" t="n"/>
      <c r="J114" s="45" t="n"/>
      <c r="K114" s="45" t="n"/>
      <c r="L114" s="45" t="n"/>
    </row>
    <row r="115" ht="14" customHeight="1">
      <c r="A115" s="45" t="n"/>
      <c r="B115" s="45" t="n"/>
      <c r="C115" s="45" t="n"/>
      <c r="D115" s="45" t="n"/>
      <c r="E115" s="45" t="n"/>
      <c r="F115" s="45" t="n"/>
      <c r="G115" s="45" t="n"/>
      <c r="H115" s="45" t="n"/>
      <c r="I115" s="45" t="n"/>
      <c r="J115" s="45" t="n"/>
      <c r="K115" s="45" t="n"/>
      <c r="L115" s="45" t="n"/>
    </row>
    <row r="116" ht="11" customHeight="1">
      <c r="A116" s="46" t="inlineStr">
        <is>
          <t>FOTO DEL EQUIPO</t>
        </is>
      </c>
      <c r="B116" s="45" t="n"/>
      <c r="C116" s="45" t="n"/>
      <c r="D116" s="45" t="n"/>
      <c r="E116" s="45" t="n"/>
      <c r="F116" s="45" t="n"/>
      <c r="G116" s="46" t="inlineStr">
        <is>
          <t>FOTO DE AISLAMIENTO / DESCONEXIÓN</t>
        </is>
      </c>
      <c r="H116" s="45" t="n"/>
      <c r="I116" s="45" t="n"/>
      <c r="J116" s="45" t="n"/>
      <c r="K116" s="45" t="n"/>
      <c r="L116" s="45" t="n"/>
    </row>
    <row r="117" ht="14" customHeight="1">
      <c r="A117" s="47" t="inlineStr">
        <is>
          <t>Etiqueta y Descripción</t>
        </is>
      </c>
      <c r="B117" s="48" t="n"/>
      <c r="C117" s="47" t="inlineStr">
        <is>
          <t>Procedimiento de Aislamiento y Dispositivos</t>
        </is>
      </c>
      <c r="D117" s="48" t="n"/>
      <c r="E117" s="48" t="n"/>
      <c r="F117" s="48" t="n"/>
      <c r="G117" s="48" t="n"/>
      <c r="H117" s="47" t="inlineStr">
        <is>
          <t>Método de Verificación</t>
        </is>
      </c>
      <c r="I117" s="48" t="n"/>
      <c r="J117" s="48" t="n"/>
      <c r="K117" s="48" t="n"/>
      <c r="L117" s="48" t="n"/>
    </row>
    <row r="118" ht="12" customHeight="1">
      <c r="A118" s="49" t="inlineStr">
        <is>
          <t>N — Ninguno
APAGADO
Controles de operacion (paro normal)</t>
        </is>
      </c>
      <c r="B118" s="50" t="n"/>
      <c r="C118" s="51" t="inlineStr">
        <is>
          <t>Notifique a todos los empleados afectados de produccion y sanidad; luego detenga la maquina de forma normal y controlada con sus controles de operacion.</t>
        </is>
      </c>
      <c r="D118" s="52" t="n"/>
      <c r="E118" s="52" t="n"/>
      <c r="F118" s="52" t="n"/>
      <c r="G118" s="52" t="n"/>
      <c r="H118" s="51" t="n"/>
      <c r="I118" s="52" t="n"/>
      <c r="J118" s="52" t="n"/>
      <c r="K118" s="52" t="n"/>
      <c r="L118" s="52" t="n"/>
    </row>
    <row r="119" ht="12" customHeight="1">
      <c r="A119" s="50" t="n"/>
      <c r="B119" s="50" t="n"/>
      <c r="C119" s="52" t="n"/>
      <c r="D119" s="52" t="n"/>
      <c r="E119" s="52" t="n"/>
      <c r="F119" s="52" t="n"/>
      <c r="G119" s="52" t="n"/>
      <c r="H119" s="52" t="n"/>
      <c r="I119" s="52" t="n"/>
      <c r="J119" s="52" t="n"/>
      <c r="K119" s="52" t="n"/>
      <c r="L119" s="52" t="n"/>
    </row>
    <row r="120" ht="12" customHeight="1">
      <c r="A120" s="50" t="n"/>
      <c r="B120" s="50" t="n"/>
      <c r="C120" s="52" t="n"/>
      <c r="D120" s="52" t="n"/>
      <c r="E120" s="52" t="n"/>
      <c r="F120" s="52" t="n"/>
      <c r="G120" s="52" t="n"/>
      <c r="H120" s="52" t="n"/>
      <c r="I120" s="52" t="n"/>
      <c r="J120" s="52" t="n"/>
      <c r="K120" s="52" t="n"/>
      <c r="L120" s="52" t="n"/>
    </row>
    <row r="121" ht="12" customHeight="1">
      <c r="A121" s="53" t="inlineStr">
        <is>
          <t>E — Eléctrico
AISLAR
Desconectador electrico principal</t>
        </is>
      </c>
      <c r="B121" s="19" t="n"/>
      <c r="C121" s="54" t="inlineStr">
        <is>
          <t>ELECTRICO - Abra el desconectador electrico principal a la posicion OFF (apagado). [VERIFY ON SITE: identificacion y ubicacion del desconectador]</t>
        </is>
      </c>
      <c r="D121" s="55" t="n"/>
      <c r="E121" s="55" t="n"/>
      <c r="F121" s="55" t="n"/>
      <c r="G121" s="55" t="n"/>
      <c r="H121" s="54" t="n"/>
      <c r="I121" s="55" t="n"/>
      <c r="J121" s="55" t="n"/>
      <c r="K121" s="55" t="n"/>
      <c r="L121" s="55" t="n"/>
    </row>
    <row r="122" ht="12" customHeight="1">
      <c r="A122" s="19" t="n"/>
      <c r="B122" s="19" t="n"/>
      <c r="C122" s="55" t="n"/>
      <c r="D122" s="55" t="n"/>
      <c r="E122" s="55" t="n"/>
      <c r="F122" s="55" t="n"/>
      <c r="G122" s="55" t="n"/>
      <c r="H122" s="55" t="n"/>
      <c r="I122" s="55" t="n"/>
      <c r="J122" s="55" t="n"/>
      <c r="K122" s="55" t="n"/>
      <c r="L122" s="55" t="n"/>
    </row>
    <row r="123" ht="12" customHeight="1">
      <c r="A123" s="19" t="n"/>
      <c r="B123" s="19" t="n"/>
      <c r="C123" s="55" t="n"/>
      <c r="D123" s="55" t="n"/>
      <c r="E123" s="55" t="n"/>
      <c r="F123" s="55" t="n"/>
      <c r="G123" s="55" t="n"/>
      <c r="H123" s="55" t="n"/>
      <c r="I123" s="55" t="n"/>
      <c r="J123" s="55" t="n"/>
      <c r="K123" s="55" t="n"/>
      <c r="L123" s="55" t="n"/>
    </row>
    <row r="124" ht="12" customHeight="1">
      <c r="A124" s="56" t="inlineStr">
        <is>
          <t>H — Hidráulico
AISLAR
Valvula de aislamiento hidraulico</t>
        </is>
      </c>
      <c r="B124" s="23" t="n"/>
      <c r="C124" s="51" t="inlineStr">
        <is>
          <t>HIDRAULICO - Cierre la valvula de suministro/aislamiento hidraulico y confirme que la bomba este sin energia. [VERIFY ON SITE: ubicacion de la valvula]</t>
        </is>
      </c>
      <c r="D124" s="52" t="n"/>
      <c r="E124" s="52" t="n"/>
      <c r="F124" s="52" t="n"/>
      <c r="G124" s="52" t="n"/>
      <c r="H124" s="51" t="n"/>
      <c r="I124" s="52" t="n"/>
      <c r="J124" s="52" t="n"/>
      <c r="K124" s="52" t="n"/>
      <c r="L124" s="52" t="n"/>
    </row>
    <row r="125" ht="12" customHeight="1">
      <c r="A125" s="23" t="n"/>
      <c r="B125" s="23" t="n"/>
      <c r="C125" s="52" t="n"/>
      <c r="D125" s="52" t="n"/>
      <c r="E125" s="52" t="n"/>
      <c r="F125" s="52" t="n"/>
      <c r="G125" s="52" t="n"/>
      <c r="H125" s="52" t="n"/>
      <c r="I125" s="52" t="n"/>
      <c r="J125" s="52" t="n"/>
      <c r="K125" s="52" t="n"/>
      <c r="L125" s="52" t="n"/>
    </row>
    <row r="126" ht="12" customHeight="1">
      <c r="A126" s="23" t="n"/>
      <c r="B126" s="23" t="n"/>
      <c r="C126" s="52" t="n"/>
      <c r="D126" s="52" t="n"/>
      <c r="E126" s="52" t="n"/>
      <c r="F126" s="52" t="n"/>
      <c r="G126" s="52" t="n"/>
      <c r="H126" s="52" t="n"/>
      <c r="I126" s="52" t="n"/>
      <c r="J126" s="52" t="n"/>
      <c r="K126" s="52" t="n"/>
      <c r="L126" s="52" t="n"/>
    </row>
    <row r="127" ht="12" customHeight="1">
      <c r="A127" s="57" t="inlineStr">
        <is>
          <t>P — Neumático
AISLAR
Valvula de aislamiento de aire</t>
        </is>
      </c>
      <c r="B127" s="25" t="n"/>
      <c r="C127" s="54" t="inlineStr">
        <is>
          <t>NEUMATICO - Cierre la valvula de aislamiento del suministro de aire (con candado). [VERIFY ON SITE: ubicacion de la valvula]</t>
        </is>
      </c>
      <c r="D127" s="55" t="n"/>
      <c r="E127" s="55" t="n"/>
      <c r="F127" s="55" t="n"/>
      <c r="G127" s="55" t="n"/>
      <c r="H127" s="54" t="n"/>
      <c r="I127" s="55" t="n"/>
      <c r="J127" s="55" t="n"/>
      <c r="K127" s="55" t="n"/>
      <c r="L127" s="55" t="n"/>
    </row>
    <row r="128" ht="12" customHeight="1">
      <c r="A128" s="25" t="n"/>
      <c r="B128" s="25" t="n"/>
      <c r="C128" s="55" t="n"/>
      <c r="D128" s="55" t="n"/>
      <c r="E128" s="55" t="n"/>
      <c r="F128" s="55" t="n"/>
      <c r="G128" s="55" t="n"/>
      <c r="H128" s="55" t="n"/>
      <c r="I128" s="55" t="n"/>
      <c r="J128" s="55" t="n"/>
      <c r="K128" s="55" t="n"/>
      <c r="L128" s="55" t="n"/>
    </row>
    <row r="129" ht="12" customHeight="1">
      <c r="A129" s="25" t="n"/>
      <c r="B129" s="25" t="n"/>
      <c r="C129" s="55" t="n"/>
      <c r="D129" s="55" t="n"/>
      <c r="E129" s="55" t="n"/>
      <c r="F129" s="55" t="n"/>
      <c r="G129" s="55" t="n"/>
      <c r="H129" s="55" t="n"/>
      <c r="I129" s="55" t="n"/>
      <c r="J129" s="55" t="n"/>
      <c r="K129" s="55" t="n"/>
      <c r="L129" s="55" t="n"/>
    </row>
    <row r="130" ht="12" customHeight="1">
      <c r="A130" s="58" t="inlineStr">
        <is>
          <t>M — Mecánico
AISLAR
Freno / piezas giratorias</t>
        </is>
      </c>
      <c r="B130" s="27" t="n"/>
      <c r="C130" s="51" t="inlineStr">
        <is>
          <t>MECANICO - Confirme que todos los accionamientos esten apagados y active el freno / seguro contra rotacion si existe. [VERIFY ON SITE: ubicacion del freno/seguro]</t>
        </is>
      </c>
      <c r="D130" s="52" t="n"/>
      <c r="E130" s="52" t="n"/>
      <c r="F130" s="52" t="n"/>
      <c r="G130" s="52" t="n"/>
      <c r="H130" s="51" t="n"/>
      <c r="I130" s="52" t="n"/>
      <c r="J130" s="52" t="n"/>
      <c r="K130" s="52" t="n"/>
      <c r="L130" s="52" t="n"/>
    </row>
    <row r="131" ht="12" customHeight="1">
      <c r="A131" s="27" t="n"/>
      <c r="B131" s="27" t="n"/>
      <c r="C131" s="52" t="n"/>
      <c r="D131" s="52" t="n"/>
      <c r="E131" s="52" t="n"/>
      <c r="F131" s="52" t="n"/>
      <c r="G131" s="52" t="n"/>
      <c r="H131" s="52" t="n"/>
      <c r="I131" s="52" t="n"/>
      <c r="J131" s="52" t="n"/>
      <c r="K131" s="52" t="n"/>
      <c r="L131" s="52" t="n"/>
    </row>
    <row r="132" ht="12" customHeight="1">
      <c r="A132" s="27" t="n"/>
      <c r="B132" s="27" t="n"/>
      <c r="C132" s="52" t="n"/>
      <c r="D132" s="52" t="n"/>
      <c r="E132" s="52" t="n"/>
      <c r="F132" s="52" t="n"/>
      <c r="G132" s="52" t="n"/>
      <c r="H132" s="52" t="n"/>
      <c r="I132" s="52" t="n"/>
      <c r="J132" s="52" t="n"/>
      <c r="K132" s="52" t="n"/>
      <c r="L132" s="52" t="n"/>
    </row>
    <row r="133" ht="12" customHeight="1">
      <c r="A133" s="53" t="inlineStr">
        <is>
          <t>E — Eléctrico
LIBERAR ENERGIA ALMACENADA
Desconectador electrico principal</t>
        </is>
      </c>
      <c r="B133" s="19" t="n"/>
      <c r="C133" s="54" t="inlineStr">
        <is>
          <t>ELECTRICO - Permita que los capacitores del bus de CD del VFD/servo se descarguen antes del contacto (minimo 5 minutos o segun placa). [VERIFY ON SITE: tiempo de descarga del variador]</t>
        </is>
      </c>
      <c r="D133" s="55" t="n"/>
      <c r="E133" s="55" t="n"/>
      <c r="F133" s="55" t="n"/>
      <c r="G133" s="55" t="n"/>
      <c r="H133" s="54" t="n"/>
      <c r="I133" s="55" t="n"/>
      <c r="J133" s="55" t="n"/>
      <c r="K133" s="55" t="n"/>
      <c r="L133" s="55" t="n"/>
    </row>
    <row r="134" ht="12" customHeight="1">
      <c r="A134" s="19" t="n"/>
      <c r="B134" s="19" t="n"/>
      <c r="C134" s="55" t="n"/>
      <c r="D134" s="55" t="n"/>
      <c r="E134" s="55" t="n"/>
      <c r="F134" s="55" t="n"/>
      <c r="G134" s="55" t="n"/>
      <c r="H134" s="55" t="n"/>
      <c r="I134" s="55" t="n"/>
      <c r="J134" s="55" t="n"/>
      <c r="K134" s="55" t="n"/>
      <c r="L134" s="55" t="n"/>
    </row>
    <row r="135" ht="12" customHeight="1">
      <c r="A135" s="19" t="n"/>
      <c r="B135" s="19" t="n"/>
      <c r="C135" s="55" t="n"/>
      <c r="D135" s="55" t="n"/>
      <c r="E135" s="55" t="n"/>
      <c r="F135" s="55" t="n"/>
      <c r="G135" s="55" t="n"/>
      <c r="H135" s="55" t="n"/>
      <c r="I135" s="55" t="n"/>
      <c r="J135" s="55" t="n"/>
      <c r="K135" s="55" t="n"/>
      <c r="L135" s="55" t="n"/>
    </row>
    <row r="136" ht="12" customHeight="1">
      <c r="A136" s="56" t="inlineStr">
        <is>
          <t>H — Hidráulico
LIBERAR ENERGIA ALMACENADA
Valvula de aislamiento hidraulico</t>
        </is>
      </c>
      <c r="B136" s="23" t="n"/>
      <c r="C136" s="51" t="inlineStr">
        <is>
          <t>HIDRAULICO - Alivie la presion hidraulica a 0 Y bloquee cualquier elemento cargado por gravedad (ariete, tazon, carro) antes de trabajar. [VERIFY ON SITE: metodo de bloqueo]</t>
        </is>
      </c>
      <c r="D136" s="52" t="n"/>
      <c r="E136" s="52" t="n"/>
      <c r="F136" s="52" t="n"/>
      <c r="G136" s="52" t="n"/>
      <c r="H136" s="51" t="n"/>
      <c r="I136" s="52" t="n"/>
      <c r="J136" s="52" t="n"/>
      <c r="K136" s="52" t="n"/>
      <c r="L136" s="52" t="n"/>
    </row>
    <row r="137" ht="12" customHeight="1">
      <c r="A137" s="23" t="n"/>
      <c r="B137" s="23" t="n"/>
      <c r="C137" s="52" t="n"/>
      <c r="D137" s="52" t="n"/>
      <c r="E137" s="52" t="n"/>
      <c r="F137" s="52" t="n"/>
      <c r="G137" s="52" t="n"/>
      <c r="H137" s="52" t="n"/>
      <c r="I137" s="52" t="n"/>
      <c r="J137" s="52" t="n"/>
      <c r="K137" s="52" t="n"/>
      <c r="L137" s="52" t="n"/>
    </row>
    <row r="138" ht="12" customHeight="1">
      <c r="A138" s="23" t="n"/>
      <c r="B138" s="23" t="n"/>
      <c r="C138" s="52" t="n"/>
      <c r="D138" s="52" t="n"/>
      <c r="E138" s="52" t="n"/>
      <c r="F138" s="52" t="n"/>
      <c r="G138" s="52" t="n"/>
      <c r="H138" s="52" t="n"/>
      <c r="I138" s="52" t="n"/>
      <c r="J138" s="52" t="n"/>
      <c r="K138" s="52" t="n"/>
      <c r="L138" s="52" t="n"/>
    </row>
    <row r="139" ht="12" customHeight="1">
      <c r="A139" s="57" t="inlineStr">
        <is>
          <t>P — Neumático
LIBERAR ENERGIA ALMACENADA
Valvula de aislamiento de aire</t>
        </is>
      </c>
      <c r="B139" s="25" t="n"/>
      <c r="C139" s="54" t="inlineStr">
        <is>
          <t>NEUMATICO - Purgue el aire atrapado aguas abajo de la valvula a 0 psi; considere actuadores de retorno por resorte y de vacio.</t>
        </is>
      </c>
      <c r="D139" s="55" t="n"/>
      <c r="E139" s="55" t="n"/>
      <c r="F139" s="55" t="n"/>
      <c r="G139" s="55" t="n"/>
      <c r="H139" s="54" t="n"/>
      <c r="I139" s="55" t="n"/>
      <c r="J139" s="55" t="n"/>
      <c r="K139" s="55" t="n"/>
      <c r="L139" s="55" t="n"/>
    </row>
    <row r="140" ht="12" customHeight="1">
      <c r="A140" s="25" t="n"/>
      <c r="B140" s="25" t="n"/>
      <c r="C140" s="55" t="n"/>
      <c r="D140" s="55" t="n"/>
      <c r="E140" s="55" t="n"/>
      <c r="F140" s="55" t="n"/>
      <c r="G140" s="55" t="n"/>
      <c r="H140" s="55" t="n"/>
      <c r="I140" s="55" t="n"/>
      <c r="J140" s="55" t="n"/>
      <c r="K140" s="55" t="n"/>
      <c r="L140" s="55" t="n"/>
    </row>
    <row r="141" ht="12" customHeight="1">
      <c r="A141" s="25" t="n"/>
      <c r="B141" s="25" t="n"/>
      <c r="C141" s="55" t="n"/>
      <c r="D141" s="55" t="n"/>
      <c r="E141" s="55" t="n"/>
      <c r="F141" s="55" t="n"/>
      <c r="G141" s="55" t="n"/>
      <c r="H141" s="55" t="n"/>
      <c r="I141" s="55" t="n"/>
      <c r="J141" s="55" t="n"/>
      <c r="K141" s="55" t="n"/>
      <c r="L141" s="55" t="n"/>
    </row>
    <row r="142" ht="12" customHeight="1">
      <c r="A142" s="58" t="inlineStr">
        <is>
          <t>M — Mecánico
LIBERAR ENERGIA ALMACENADA
Freno / piezas giratorias</t>
        </is>
      </c>
      <c r="B142" s="27" t="n"/>
      <c r="C142" s="51" t="inlineStr">
        <is>
          <t>MECANICO - Permita que todas las piezas giratorias o en inercia (motores, ventiladores, volantes, cuchillas, rodillos) se detengan por completo.</t>
        </is>
      </c>
      <c r="D142" s="52" t="n"/>
      <c r="E142" s="52" t="n"/>
      <c r="F142" s="52" t="n"/>
      <c r="G142" s="52" t="n"/>
      <c r="H142" s="51" t="n"/>
      <c r="I142" s="52" t="n"/>
      <c r="J142" s="52" t="n"/>
      <c r="K142" s="52" t="n"/>
      <c r="L142" s="52" t="n"/>
    </row>
    <row r="143" ht="12" customHeight="1">
      <c r="A143" s="27" t="n"/>
      <c r="B143" s="27" t="n"/>
      <c r="C143" s="52" t="n"/>
      <c r="D143" s="52" t="n"/>
      <c r="E143" s="52" t="n"/>
      <c r="F143" s="52" t="n"/>
      <c r="G143" s="52" t="n"/>
      <c r="H143" s="52" t="n"/>
      <c r="I143" s="52" t="n"/>
      <c r="J143" s="52" t="n"/>
      <c r="K143" s="52" t="n"/>
      <c r="L143" s="52" t="n"/>
    </row>
    <row r="144" ht="12" customHeight="1">
      <c r="A144" s="27" t="n"/>
      <c r="B144" s="27" t="n"/>
      <c r="C144" s="52" t="n"/>
      <c r="D144" s="52" t="n"/>
      <c r="E144" s="52" t="n"/>
      <c r="F144" s="52" t="n"/>
      <c r="G144" s="52" t="n"/>
      <c r="H144" s="52" t="n"/>
      <c r="I144" s="52" t="n"/>
      <c r="J144" s="52" t="n"/>
      <c r="K144" s="52" t="n"/>
      <c r="L144" s="52" t="n"/>
    </row>
    <row r="145" ht="12" customHeight="1">
      <c r="A145" s="49" t="inlineStr">
        <is>
          <t>N — Ninguno
BLOQUEO
Todos los dispositivos de aislamiento anteriores</t>
        </is>
      </c>
      <c r="B145" s="50" t="n"/>
      <c r="C145" s="54" t="inlineStr">
        <is>
          <t>Coloque un candado asignado Y una etiqueta duradera en CADA dispositivo de aislamiento anterior. Cada trabajador autorizado coloca su propio candado (bloqueo grupal cuando se requiera).</t>
        </is>
      </c>
      <c r="D145" s="55" t="n"/>
      <c r="E145" s="55" t="n"/>
      <c r="F145" s="55" t="n"/>
      <c r="G145" s="55" t="n"/>
      <c r="H145" s="54" t="n"/>
      <c r="I145" s="55" t="n"/>
      <c r="J145" s="55" t="n"/>
      <c r="K145" s="55" t="n"/>
      <c r="L145" s="55" t="n"/>
    </row>
    <row r="146" ht="12" customHeight="1">
      <c r="A146" s="50" t="n"/>
      <c r="B146" s="50" t="n"/>
      <c r="C146" s="55" t="n"/>
      <c r="D146" s="55" t="n"/>
      <c r="E146" s="55" t="n"/>
      <c r="F146" s="55" t="n"/>
      <c r="G146" s="55" t="n"/>
      <c r="H146" s="55" t="n"/>
      <c r="I146" s="55" t="n"/>
      <c r="J146" s="55" t="n"/>
      <c r="K146" s="55" t="n"/>
      <c r="L146" s="55" t="n"/>
    </row>
    <row r="147" ht="12" customHeight="1">
      <c r="A147" s="50" t="n"/>
      <c r="B147" s="50" t="n"/>
      <c r="C147" s="55" t="n"/>
      <c r="D147" s="55" t="n"/>
      <c r="E147" s="55" t="n"/>
      <c r="F147" s="55" t="n"/>
      <c r="G147" s="55" t="n"/>
      <c r="H147" s="55" t="n"/>
      <c r="I147" s="55" t="n"/>
      <c r="J147" s="55" t="n"/>
      <c r="K147" s="55" t="n"/>
      <c r="L147" s="55" t="n"/>
    </row>
    <row r="148" ht="12" customHeight="1">
      <c r="A148" s="50" t="n"/>
      <c r="B148" s="50" t="n"/>
      <c r="C148" s="55" t="n"/>
      <c r="D148" s="55" t="n"/>
      <c r="E148" s="55" t="n"/>
      <c r="F148" s="55" t="n"/>
      <c r="G148" s="55" t="n"/>
      <c r="H148" s="55" t="n"/>
      <c r="I148" s="55" t="n"/>
      <c r="J148" s="55" t="n"/>
      <c r="K148" s="55" t="n"/>
      <c r="L148" s="55" t="n"/>
    </row>
    <row r="149" ht="12" customHeight="1">
      <c r="A149" s="53" t="inlineStr">
        <is>
          <t>E — Eléctrico
VERIFICAR ENERGIA CERO
Desconectador electrico principal</t>
        </is>
      </c>
      <c r="B149" s="19" t="n"/>
      <c r="C149" s="51" t="inlineStr">
        <is>
          <t>ELECTRICO - Con un multimetro calibrado, verifique 0 V en el lado de carga del desconectador, fase a fase y fase a tierra (pruebe el multimetro en una fuente viva conocida antes y despues).</t>
        </is>
      </c>
      <c r="D149" s="52" t="n"/>
      <c r="E149" s="52" t="n"/>
      <c r="F149" s="52" t="n"/>
      <c r="G149" s="52" t="n"/>
      <c r="H149" s="51" t="inlineStr">
        <is>
          <t>ELECTRICO - Con un multimetro calibrado, verifique 0 V en el lado de carga del desconectador, fase a fase y fase a tierra (pruebe el multimetro en una fuente viva conocida antes y despues).</t>
        </is>
      </c>
      <c r="I149" s="52" t="n"/>
      <c r="J149" s="52" t="n"/>
      <c r="K149" s="52" t="n"/>
      <c r="L149" s="52" t="n"/>
    </row>
    <row r="150" ht="12" customHeight="1">
      <c r="A150" s="19" t="n"/>
      <c r="B150" s="19" t="n"/>
      <c r="C150" s="52" t="n"/>
      <c r="D150" s="52" t="n"/>
      <c r="E150" s="52" t="n"/>
      <c r="F150" s="52" t="n"/>
      <c r="G150" s="52" t="n"/>
      <c r="H150" s="52" t="n"/>
      <c r="I150" s="52" t="n"/>
      <c r="J150" s="52" t="n"/>
      <c r="K150" s="52" t="n"/>
      <c r="L150" s="52" t="n"/>
    </row>
    <row r="151" ht="12" customHeight="1">
      <c r="A151" s="19" t="n"/>
      <c r="B151" s="19" t="n"/>
      <c r="C151" s="52" t="n"/>
      <c r="D151" s="52" t="n"/>
      <c r="E151" s="52" t="n"/>
      <c r="F151" s="52" t="n"/>
      <c r="G151" s="52" t="n"/>
      <c r="H151" s="52" t="n"/>
      <c r="I151" s="52" t="n"/>
      <c r="J151" s="52" t="n"/>
      <c r="K151" s="52" t="n"/>
      <c r="L151" s="52" t="n"/>
    </row>
    <row r="152" ht="12" customHeight="1">
      <c r="A152" s="56" t="inlineStr">
        <is>
          <t>H — Hidráulico
VERIFICAR ENERGIA CERO
Valvula de aislamiento hidraulico</t>
        </is>
      </c>
      <c r="B152" s="23" t="n"/>
      <c r="C152" s="54" t="inlineStr">
        <is>
          <t>HIDRAULICO - Confirme que el manometro hidraulico marque 0 y que el elemento por gravedad este bloqueado fisicamente.</t>
        </is>
      </c>
      <c r="D152" s="55" t="n"/>
      <c r="E152" s="55" t="n"/>
      <c r="F152" s="55" t="n"/>
      <c r="G152" s="55" t="n"/>
      <c r="H152" s="54" t="inlineStr">
        <is>
          <t>HIDRAULICO - Confirme que el manometro hidraulico marque 0 y que el elemento por gravedad este bloqueado fisicamente.</t>
        </is>
      </c>
      <c r="I152" s="55" t="n"/>
      <c r="J152" s="55" t="n"/>
      <c r="K152" s="55" t="n"/>
      <c r="L152" s="55" t="n"/>
    </row>
    <row r="153" ht="12" customHeight="1">
      <c r="A153" s="23" t="n"/>
      <c r="B153" s="23" t="n"/>
      <c r="C153" s="55" t="n"/>
      <c r="D153" s="55" t="n"/>
      <c r="E153" s="55" t="n"/>
      <c r="F153" s="55" t="n"/>
      <c r="G153" s="55" t="n"/>
      <c r="H153" s="55" t="n"/>
      <c r="I153" s="55" t="n"/>
      <c r="J153" s="55" t="n"/>
      <c r="K153" s="55" t="n"/>
      <c r="L153" s="55" t="n"/>
    </row>
    <row r="154" ht="12" customHeight="1">
      <c r="A154" s="23" t="n"/>
      <c r="B154" s="23" t="n"/>
      <c r="C154" s="55" t="n"/>
      <c r="D154" s="55" t="n"/>
      <c r="E154" s="55" t="n"/>
      <c r="F154" s="55" t="n"/>
      <c r="G154" s="55" t="n"/>
      <c r="H154" s="55" t="n"/>
      <c r="I154" s="55" t="n"/>
      <c r="J154" s="55" t="n"/>
      <c r="K154" s="55" t="n"/>
      <c r="L154" s="55" t="n"/>
    </row>
    <row r="155" ht="12" customHeight="1">
      <c r="A155" s="57" t="inlineStr">
        <is>
          <t>P — Neumático
VERIFICAR ENERGIA CERO
Valvula de aislamiento de aire</t>
        </is>
      </c>
      <c r="B155" s="25" t="n"/>
      <c r="C155" s="51" t="inlineStr">
        <is>
          <t>NEUMATICO - Confirme que el manometro de aire aguas abajo marque 0 psi.</t>
        </is>
      </c>
      <c r="D155" s="52" t="n"/>
      <c r="E155" s="52" t="n"/>
      <c r="F155" s="52" t="n"/>
      <c r="G155" s="52" t="n"/>
      <c r="H155" s="51" t="inlineStr">
        <is>
          <t>NEUMATICO - Confirme que el manometro de aire aguas abajo marque 0 psi.</t>
        </is>
      </c>
      <c r="I155" s="52" t="n"/>
      <c r="J155" s="52" t="n"/>
      <c r="K155" s="52" t="n"/>
      <c r="L155" s="52" t="n"/>
    </row>
    <row r="156" ht="12" customHeight="1">
      <c r="A156" s="25" t="n"/>
      <c r="B156" s="25" t="n"/>
      <c r="C156" s="52" t="n"/>
      <c r="D156" s="52" t="n"/>
      <c r="E156" s="52" t="n"/>
      <c r="F156" s="52" t="n"/>
      <c r="G156" s="52" t="n"/>
      <c r="H156" s="52" t="n"/>
      <c r="I156" s="52" t="n"/>
      <c r="J156" s="52" t="n"/>
      <c r="K156" s="52" t="n"/>
      <c r="L156" s="52" t="n"/>
    </row>
    <row r="157" ht="12" customHeight="1">
      <c r="A157" s="25" t="n"/>
      <c r="B157" s="25" t="n"/>
      <c r="C157" s="52" t="n"/>
      <c r="D157" s="52" t="n"/>
      <c r="E157" s="52" t="n"/>
      <c r="F157" s="52" t="n"/>
      <c r="G157" s="52" t="n"/>
      <c r="H157" s="52" t="n"/>
      <c r="I157" s="52" t="n"/>
      <c r="J157" s="52" t="n"/>
      <c r="K157" s="52" t="n"/>
      <c r="L157" s="52" t="n"/>
    </row>
    <row r="158" ht="12" customHeight="1">
      <c r="A158" s="49" t="inlineStr">
        <is>
          <t>N — Ninguno
VERIFICAR ENERGIA CERO
Prueba de arranque en los controles</t>
        </is>
      </c>
      <c r="B158" s="50" t="n"/>
      <c r="C158" s="54" t="inlineStr">
        <is>
          <t>Intente arrancar la maquina desde sus controles normales para confirmar que no responde; luego regrese todos los controles a OFF / neutral.</t>
        </is>
      </c>
      <c r="D158" s="55" t="n"/>
      <c r="E158" s="55" t="n"/>
      <c r="F158" s="55" t="n"/>
      <c r="G158" s="55" t="n"/>
      <c r="H158" s="54" t="inlineStr">
        <is>
          <t>Intente arrancar la maquina desde sus controles normales para confirmar que no responde; luego regrese todos los controles a OFF / neutral.</t>
        </is>
      </c>
      <c r="I158" s="55" t="n"/>
      <c r="J158" s="55" t="n"/>
      <c r="K158" s="55" t="n"/>
      <c r="L158" s="55" t="n"/>
    </row>
    <row r="159" ht="12" customHeight="1">
      <c r="A159" s="50" t="n"/>
      <c r="B159" s="50" t="n"/>
      <c r="C159" s="55" t="n"/>
      <c r="D159" s="55" t="n"/>
      <c r="E159" s="55" t="n"/>
      <c r="F159" s="55" t="n"/>
      <c r="G159" s="55" t="n"/>
      <c r="H159" s="55" t="n"/>
      <c r="I159" s="55" t="n"/>
      <c r="J159" s="55" t="n"/>
      <c r="K159" s="55" t="n"/>
      <c r="L159" s="55" t="n"/>
    </row>
    <row r="160" ht="12" customHeight="1">
      <c r="A160" s="50" t="n"/>
      <c r="B160" s="50" t="n"/>
      <c r="C160" s="55" t="n"/>
      <c r="D160" s="55" t="n"/>
      <c r="E160" s="55" t="n"/>
      <c r="F160" s="55" t="n"/>
      <c r="G160" s="55" t="n"/>
      <c r="H160" s="55" t="n"/>
      <c r="I160" s="55" t="n"/>
      <c r="J160" s="55" t="n"/>
      <c r="K160" s="55" t="n"/>
      <c r="L160" s="55" t="n"/>
    </row>
    <row r="161" ht="13" customHeight="1">
      <c r="A161" s="17" t="inlineStr">
        <is>
          <t>PROCESO DE REMOCIÓN DE BLOQUEO</t>
        </is>
      </c>
      <c r="B161" s="13" t="n"/>
      <c r="C161" s="13" t="n"/>
      <c r="D161" s="13" t="n"/>
      <c r="E161" s="13" t="n"/>
      <c r="F161" s="13" t="n"/>
      <c r="G161" s="13" t="n"/>
      <c r="H161" s="13" t="n"/>
      <c r="I161" s="13" t="n"/>
      <c r="J161" s="13" t="n"/>
      <c r="K161" s="13" t="n"/>
      <c r="L161" s="13" t="n"/>
    </row>
    <row r="162" ht="12" customHeight="1">
      <c r="A162" s="59"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2" s="59" t="inlineStr">
        <is>
          <t>5. Retirar los dispositivos de bloqueo, candados y etiquetas
6. Volver a energizar el equipo
7. Notificar a los empleados AFECTADOS que el equipo está de vuelta en servicio</t>
        </is>
      </c>
    </row>
    <row r="163" ht="12" customHeight="1"/>
    <row r="164" ht="12" customHeight="1"/>
    <row r="165" ht="12" customHeight="1"/>
    <row r="166" ht="9" customHeight="1">
      <c r="A166" s="60" t="inlineStr">
        <is>
          <t>Traducción al inglés al reverso — imprimir a doble cara.</t>
        </is>
      </c>
    </row>
    <row r="167" ht="18" customHeight="1">
      <c r="A167" s="61" t="inlineStr">
        <is>
          <t>Firma</t>
        </is>
      </c>
      <c r="B167" s="62" t="n"/>
      <c r="C167" s="62" t="n"/>
      <c r="D167" s="61" t="inlineStr">
        <is>
          <t>Fecha</t>
        </is>
      </c>
      <c r="E167" s="62" t="n"/>
      <c r="F167" s="62" t="n"/>
      <c r="G167" s="61" t="inlineStr">
        <is>
          <t>Depto</t>
        </is>
      </c>
      <c r="H167" s="62" t="n"/>
      <c r="I167" s="62" t="n"/>
      <c r="J167" s="61" t="inlineStr">
        <is>
          <t>Ver PM Store en carpeta PT</t>
        </is>
      </c>
      <c r="K167" s="62" t="n"/>
      <c r="L167" s="62" t="n"/>
    </row>
    <row r="168"/>
    <row r="169" ht="24" customHeight="1">
      <c r="A169" s="6" t="inlineStr">
        <is>
          <t>LOCKOUT/TAGOUT PROCEDURE</t>
        </is>
      </c>
      <c r="B169" s="7" t="n"/>
      <c r="C169" s="7" t="n"/>
      <c r="D169" s="7" t="n"/>
      <c r="E169" s="7" t="n"/>
      <c r="F169" s="7" t="n"/>
      <c r="G169" s="7" t="n"/>
      <c r="H169" s="7" t="n"/>
      <c r="I169" s="7" t="n"/>
      <c r="J169" s="7" t="n"/>
      <c r="K169" s="7" t="n"/>
      <c r="L169" s="7" t="n"/>
    </row>
    <row r="170" ht="12" customHeight="1">
      <c r="A170" s="8" t="inlineStr">
        <is>
          <t>[EN]   Date: 2026-08-29   ·   Scan for digital placard</t>
        </is>
      </c>
      <c r="B170" s="7" t="n"/>
      <c r="C170" s="7" t="n"/>
      <c r="D170" s="7" t="n"/>
      <c r="E170" s="7" t="n"/>
      <c r="F170" s="7" t="n"/>
      <c r="G170" s="7" t="n"/>
      <c r="H170" s="7" t="n"/>
      <c r="I170" s="7" t="n"/>
      <c r="J170" s="7" t="n"/>
      <c r="K170" s="7" t="n"/>
      <c r="L170" s="7" t="n"/>
    </row>
    <row r="171" ht="16" customHeight="1">
      <c r="A171" s="9" t="inlineStr">
        <is>
          <t>EQUIPMENT: 321-MX-01 (Shaffer Masa Mixer - Line 321 Pop Chip)</t>
        </is>
      </c>
      <c r="B171" s="10" t="n"/>
      <c r="C171" s="10" t="n"/>
      <c r="D171" s="10" t="n"/>
      <c r="E171" s="10" t="n"/>
      <c r="F171" s="10" t="n"/>
      <c r="G171" s="10" t="n"/>
      <c r="H171" s="10" t="n"/>
      <c r="I171" s="11" t="inlineStr">
        <is>
          <t>Mixers</t>
        </is>
      </c>
      <c r="J171" s="10" t="n"/>
      <c r="K171" s="10" t="n"/>
      <c r="L171" s="10" t="n"/>
    </row>
    <row r="172" ht="14" customHeight="1">
      <c r="A172" s="12" t="inlineStr">
        <is>
          <t>KEEP OUT! HAZARDOUS VOLTAGE AND MOVING PARTS</t>
        </is>
      </c>
      <c r="B172" s="13" t="n"/>
      <c r="C172" s="13" t="n"/>
      <c r="D172" s="13" t="n"/>
      <c r="E172" s="13" t="n"/>
      <c r="F172" s="13" t="n"/>
      <c r="G172" s="13" t="n"/>
      <c r="H172" s="13" t="n"/>
      <c r="I172" s="13" t="n"/>
      <c r="J172" s="13" t="n"/>
      <c r="K172" s="13" t="n"/>
      <c r="L172" s="13" t="n"/>
    </row>
    <row r="173" ht="12" customHeight="1">
      <c r="A173" s="14" t="inlineStr">
        <is>
          <t>PHOTO_FIX 2026-05-13: EQ repointed from 302-MX-1-EQ (Line 302 borrow) to machine-specific 321-MX-01_equip_2026-04-20. IP using canonical Shaffer Masa Mixer disconnect (same model as 302).</t>
        </is>
      </c>
      <c r="B173" s="13" t="n"/>
      <c r="C173" s="13" t="n"/>
      <c r="D173" s="13" t="n"/>
      <c r="E173" s="13" t="n"/>
      <c r="F173" s="13" t="n"/>
      <c r="G173" s="13" t="n"/>
      <c r="H173" s="13" t="n"/>
      <c r="I173" s="13" t="n"/>
      <c r="J173" s="13" t="n"/>
      <c r="K173" s="13" t="n"/>
      <c r="L173" s="13" t="n"/>
    </row>
    <row r="174" ht="12" customHeight="1">
      <c r="A174" s="15" t="inlineStr">
        <is>
          <t>PURPOSE</t>
        </is>
      </c>
      <c r="H174" s="15" t="inlineStr">
        <is>
          <t>LOCKOUT APPLICATION PROCESS</t>
        </is>
      </c>
    </row>
    <row r="175" ht="12" customHeight="1">
      <c r="A17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6" ht="12" customHeight="1"/>
    <row r="177" ht="12" customHeight="1"/>
    <row r="178" ht="12" customHeight="1"/>
    <row r="179" ht="12" customHeight="1"/>
    <row r="180" ht="12" customHeight="1"/>
    <row r="181" ht="12" customHeight="1"/>
    <row r="182" ht="14" customHeight="1">
      <c r="A182" s="17" t="inlineStr">
        <is>
          <t>COLOR CODES</t>
        </is>
      </c>
      <c r="B182" s="13" t="n"/>
      <c r="C182" s="13" t="n"/>
      <c r="D182" s="13" t="n"/>
      <c r="E182" s="13" t="n"/>
      <c r="F182" s="13" t="n"/>
      <c r="G182" s="13" t="n"/>
      <c r="H182" s="13" t="n"/>
      <c r="I182" s="13" t="n"/>
      <c r="J182" s="13" t="n"/>
      <c r="K182" s="13" t="n"/>
      <c r="L182" s="13" t="n"/>
    </row>
    <row r="183" ht="12" customHeight="1">
      <c r="A183" s="18" t="inlineStr">
        <is>
          <t>E = Electrical</t>
        </is>
      </c>
      <c r="B183" s="19" t="n"/>
      <c r="C183" s="20" t="inlineStr">
        <is>
          <t>G = Gas</t>
        </is>
      </c>
      <c r="D183" s="21" t="n"/>
      <c r="E183" s="22" t="inlineStr">
        <is>
          <t>H = Hydraulic</t>
        </is>
      </c>
      <c r="F183" s="23" t="n"/>
      <c r="G183" s="24" t="inlineStr">
        <is>
          <t>P = Pneumatic</t>
        </is>
      </c>
      <c r="H183" s="25" t="n"/>
      <c r="I183" s="26" t="inlineStr">
        <is>
          <t>M = Mechanical</t>
        </is>
      </c>
      <c r="J183" s="27" t="n"/>
      <c r="K183" s="28" t="inlineStr">
        <is>
          <t>T = Thermal</t>
        </is>
      </c>
      <c r="L183" s="29" t="n"/>
    </row>
    <row r="184" ht="12" customHeight="1">
      <c r="A184" s="30" t="inlineStr">
        <is>
          <t>W = Water</t>
        </is>
      </c>
      <c r="B184" s="31" t="n"/>
      <c r="C184" s="32" t="inlineStr">
        <is>
          <t>S = Steam</t>
        </is>
      </c>
      <c r="D184" s="33" t="n"/>
      <c r="E184" s="34" t="inlineStr">
        <is>
          <t>V = Valve</t>
        </is>
      </c>
      <c r="F184" s="35" t="n"/>
      <c r="G184" s="36" t="inlineStr">
        <is>
          <t>CG = Compressed Gas</t>
        </is>
      </c>
      <c r="H184" s="37" t="n"/>
      <c r="I184" s="38" t="inlineStr">
        <is>
          <t>CP = Control Panel</t>
        </is>
      </c>
      <c r="J184" s="39" t="n"/>
      <c r="K184" s="40" t="inlineStr">
        <is>
          <t>GR = Gravity</t>
        </is>
      </c>
      <c r="L184" s="41" t="n"/>
    </row>
    <row r="185" ht="14" customHeight="1">
      <c r="A185" s="42" t="inlineStr">
        <is>
          <t>EQUIPMENT IDENTIFICATION AND ENERGY ISOLATION PROCEDURE</t>
        </is>
      </c>
      <c r="B185" s="43" t="n"/>
      <c r="C185" s="43" t="n"/>
      <c r="D185" s="43" t="n"/>
      <c r="E185" s="43" t="n"/>
      <c r="F185" s="43" t="n"/>
      <c r="G185" s="43" t="n"/>
      <c r="H185" s="43" t="n"/>
      <c r="I185" s="43" t="n"/>
      <c r="J185" s="43" t="n"/>
      <c r="K185" s="43" t="n"/>
      <c r="L185" s="43" t="n"/>
    </row>
    <row r="186" ht="14" customHeight="1">
      <c r="A186" s="44" t="n"/>
      <c r="B186" s="45" t="n"/>
      <c r="C186" s="45" t="n"/>
      <c r="D186" s="45" t="n"/>
      <c r="E186" s="45" t="n"/>
      <c r="F186" s="45" t="n"/>
      <c r="G186" s="44" t="n"/>
      <c r="H186" s="45" t="n"/>
      <c r="I186" s="45" t="n"/>
      <c r="J186" s="45" t="n"/>
      <c r="K186" s="45" t="n"/>
      <c r="L186" s="45" t="n"/>
    </row>
    <row r="187" ht="14" customHeight="1">
      <c r="A187" s="45" t="n"/>
      <c r="B187" s="45" t="n"/>
      <c r="C187" s="45" t="n"/>
      <c r="D187" s="45" t="n"/>
      <c r="E187" s="45" t="n"/>
      <c r="F187" s="45" t="n"/>
      <c r="G187" s="45" t="n"/>
      <c r="H187" s="45" t="n"/>
      <c r="I187" s="45" t="n"/>
      <c r="J187" s="45" t="n"/>
      <c r="K187" s="45" t="n"/>
      <c r="L187" s="45" t="n"/>
    </row>
    <row r="188" ht="14" customHeight="1">
      <c r="A188" s="45" t="n"/>
      <c r="B188" s="45" t="n"/>
      <c r="C188" s="45" t="n"/>
      <c r="D188" s="45" t="n"/>
      <c r="E188" s="45" t="n"/>
      <c r="F188" s="45" t="n"/>
      <c r="G188" s="45" t="n"/>
      <c r="H188" s="45" t="n"/>
      <c r="I188" s="45" t="n"/>
      <c r="J188" s="45" t="n"/>
      <c r="K188" s="45" t="n"/>
      <c r="L188" s="45" t="n"/>
    </row>
    <row r="189" ht="14" customHeight="1">
      <c r="A189" s="45" t="n"/>
      <c r="B189" s="45" t="n"/>
      <c r="C189" s="45" t="n"/>
      <c r="D189" s="45" t="n"/>
      <c r="E189" s="45" t="n"/>
      <c r="F189" s="45" t="n"/>
      <c r="G189" s="45" t="n"/>
      <c r="H189" s="45" t="n"/>
      <c r="I189" s="45" t="n"/>
      <c r="J189" s="45" t="n"/>
      <c r="K189" s="45" t="n"/>
      <c r="L189" s="45" t="n"/>
    </row>
    <row r="190" ht="14" customHeight="1">
      <c r="A190" s="45" t="n"/>
      <c r="B190" s="45" t="n"/>
      <c r="C190" s="45" t="n"/>
      <c r="D190" s="45" t="n"/>
      <c r="E190" s="45" t="n"/>
      <c r="F190" s="45" t="n"/>
      <c r="G190" s="45" t="n"/>
      <c r="H190" s="45" t="n"/>
      <c r="I190" s="45" t="n"/>
      <c r="J190" s="45" t="n"/>
      <c r="K190" s="45" t="n"/>
      <c r="L190" s="45" t="n"/>
    </row>
    <row r="191" ht="14" customHeight="1">
      <c r="A191" s="45" t="n"/>
      <c r="B191" s="45" t="n"/>
      <c r="C191" s="45" t="n"/>
      <c r="D191" s="45" t="n"/>
      <c r="E191" s="45" t="n"/>
      <c r="F191" s="45" t="n"/>
      <c r="G191" s="45" t="n"/>
      <c r="H191" s="45" t="n"/>
      <c r="I191" s="45" t="n"/>
      <c r="J191" s="45" t="n"/>
      <c r="K191" s="45" t="n"/>
      <c r="L191" s="45" t="n"/>
    </row>
    <row r="192" ht="14" customHeight="1">
      <c r="A192" s="45" t="n"/>
      <c r="B192" s="45" t="n"/>
      <c r="C192" s="45" t="n"/>
      <c r="D192" s="45" t="n"/>
      <c r="E192" s="45" t="n"/>
      <c r="F192" s="45" t="n"/>
      <c r="G192" s="45" t="n"/>
      <c r="H192" s="45" t="n"/>
      <c r="I192" s="45" t="n"/>
      <c r="J192" s="45" t="n"/>
      <c r="K192" s="45" t="n"/>
      <c r="L192" s="45" t="n"/>
    </row>
    <row r="193" ht="14" customHeight="1">
      <c r="A193" s="45" t="n"/>
      <c r="B193" s="45" t="n"/>
      <c r="C193" s="45" t="n"/>
      <c r="D193" s="45" t="n"/>
      <c r="E193" s="45" t="n"/>
      <c r="F193" s="45" t="n"/>
      <c r="G193" s="45" t="n"/>
      <c r="H193" s="45" t="n"/>
      <c r="I193" s="45" t="n"/>
      <c r="J193" s="45" t="n"/>
      <c r="K193" s="45" t="n"/>
      <c r="L193" s="45" t="n"/>
    </row>
    <row r="194" ht="14" customHeight="1">
      <c r="A194" s="45" t="n"/>
      <c r="B194" s="45" t="n"/>
      <c r="C194" s="45" t="n"/>
      <c r="D194" s="45" t="n"/>
      <c r="E194" s="45" t="n"/>
      <c r="F194" s="45" t="n"/>
      <c r="G194" s="45" t="n"/>
      <c r="H194" s="45" t="n"/>
      <c r="I194" s="45" t="n"/>
      <c r="J194" s="45" t="n"/>
      <c r="K194" s="45" t="n"/>
      <c r="L194" s="45" t="n"/>
    </row>
    <row r="195" ht="14" customHeight="1">
      <c r="A195" s="45" t="n"/>
      <c r="B195" s="45" t="n"/>
      <c r="C195" s="45" t="n"/>
      <c r="D195" s="45" t="n"/>
      <c r="E195" s="45" t="n"/>
      <c r="F195" s="45" t="n"/>
      <c r="G195" s="45" t="n"/>
      <c r="H195" s="45" t="n"/>
      <c r="I195" s="45" t="n"/>
      <c r="J195" s="45" t="n"/>
      <c r="K195" s="45" t="n"/>
      <c r="L195" s="45" t="n"/>
    </row>
    <row r="196" ht="14" customHeight="1">
      <c r="A196" s="45" t="n"/>
      <c r="B196" s="45" t="n"/>
      <c r="C196" s="45" t="n"/>
      <c r="D196" s="45" t="n"/>
      <c r="E196" s="45" t="n"/>
      <c r="F196" s="45" t="n"/>
      <c r="G196" s="45" t="n"/>
      <c r="H196" s="45" t="n"/>
      <c r="I196" s="45" t="n"/>
      <c r="J196" s="45" t="n"/>
      <c r="K196" s="45" t="n"/>
      <c r="L196" s="45" t="n"/>
    </row>
    <row r="197" ht="14" customHeight="1">
      <c r="A197" s="45" t="n"/>
      <c r="B197" s="45" t="n"/>
      <c r="C197" s="45" t="n"/>
      <c r="D197" s="45" t="n"/>
      <c r="E197" s="45" t="n"/>
      <c r="F197" s="45" t="n"/>
      <c r="G197" s="45" t="n"/>
      <c r="H197" s="45" t="n"/>
      <c r="I197" s="45" t="n"/>
      <c r="J197" s="45" t="n"/>
      <c r="K197" s="45" t="n"/>
      <c r="L197" s="45" t="n"/>
    </row>
    <row r="198" ht="14" customHeight="1">
      <c r="A198" s="45" t="n"/>
      <c r="B198" s="45" t="n"/>
      <c r="C198" s="45" t="n"/>
      <c r="D198" s="45" t="n"/>
      <c r="E198" s="45" t="n"/>
      <c r="F198" s="45" t="n"/>
      <c r="G198" s="45" t="n"/>
      <c r="H198" s="45" t="n"/>
      <c r="I198" s="45" t="n"/>
      <c r="J198" s="45" t="n"/>
      <c r="K198" s="45" t="n"/>
      <c r="L198" s="45" t="n"/>
    </row>
    <row r="199" ht="14" customHeight="1">
      <c r="A199" s="45" t="n"/>
      <c r="B199" s="45" t="n"/>
      <c r="C199" s="45" t="n"/>
      <c r="D199" s="45" t="n"/>
      <c r="E199" s="45" t="n"/>
      <c r="F199" s="45" t="n"/>
      <c r="G199" s="45" t="n"/>
      <c r="H199" s="45" t="n"/>
      <c r="I199" s="45" t="n"/>
      <c r="J199" s="45" t="n"/>
      <c r="K199" s="45" t="n"/>
      <c r="L199" s="45" t="n"/>
    </row>
    <row r="200" ht="11" customHeight="1">
      <c r="A200" s="46" t="inlineStr">
        <is>
          <t>PHOTO OF EQUIPMENT</t>
        </is>
      </c>
      <c r="B200" s="45" t="n"/>
      <c r="C200" s="45" t="n"/>
      <c r="D200" s="45" t="n"/>
      <c r="E200" s="45" t="n"/>
      <c r="F200" s="45" t="n"/>
      <c r="G200" s="46" t="inlineStr">
        <is>
          <t>PHOTO OF ISOLATION / DISCONNECT</t>
        </is>
      </c>
      <c r="H200" s="45" t="n"/>
      <c r="I200" s="45" t="n"/>
      <c r="J200" s="45" t="n"/>
      <c r="K200" s="45" t="n"/>
      <c r="L200" s="45" t="n"/>
    </row>
    <row r="201" ht="14" customHeight="1">
      <c r="A201" s="47" t="inlineStr">
        <is>
          <t>Energy Tag &amp; Description</t>
        </is>
      </c>
      <c r="B201" s="48" t="n"/>
      <c r="C201" s="47" t="inlineStr">
        <is>
          <t>Isolation Procedure &amp; Lockout Devices</t>
        </is>
      </c>
      <c r="D201" s="48" t="n"/>
      <c r="E201" s="48" t="n"/>
      <c r="F201" s="48" t="n"/>
      <c r="G201" s="48" t="n"/>
      <c r="H201" s="47" t="inlineStr">
        <is>
          <t>Method of Verification</t>
        </is>
      </c>
      <c r="I201" s="48" t="n"/>
      <c r="J201" s="48" t="n"/>
      <c r="K201" s="48" t="n"/>
      <c r="L201" s="48" t="n"/>
    </row>
    <row r="202" ht="12" customHeight="1">
      <c r="A202" s="49" t="inlineStr">
        <is>
          <t>N — None
SHUTDOWN
Operating controls (normal stop)</t>
        </is>
      </c>
      <c r="B202" s="50" t="n"/>
      <c r="C202" s="51" t="inlineStr">
        <is>
          <t>Notify all affected production and sanitation employees, then bring the machine to a normal, controlled stop using its operating controls.</t>
        </is>
      </c>
      <c r="D202" s="52" t="n"/>
      <c r="E202" s="52" t="n"/>
      <c r="F202" s="52" t="n"/>
      <c r="G202" s="52" t="n"/>
      <c r="H202" s="51" t="n"/>
      <c r="I202" s="52" t="n"/>
      <c r="J202" s="52" t="n"/>
      <c r="K202" s="52" t="n"/>
      <c r="L202" s="52" t="n"/>
    </row>
    <row r="203" ht="12" customHeight="1">
      <c r="A203" s="50" t="n"/>
      <c r="B203" s="50" t="n"/>
      <c r="C203" s="52" t="n"/>
      <c r="D203" s="52" t="n"/>
      <c r="E203" s="52" t="n"/>
      <c r="F203" s="52" t="n"/>
      <c r="G203" s="52" t="n"/>
      <c r="H203" s="52" t="n"/>
      <c r="I203" s="52" t="n"/>
      <c r="J203" s="52" t="n"/>
      <c r="K203" s="52" t="n"/>
      <c r="L203" s="52" t="n"/>
    </row>
    <row r="204" ht="12" customHeight="1">
      <c r="A204" s="50" t="n"/>
      <c r="B204" s="50" t="n"/>
      <c r="C204" s="52" t="n"/>
      <c r="D204" s="52" t="n"/>
      <c r="E204" s="52" t="n"/>
      <c r="F204" s="52" t="n"/>
      <c r="G204" s="52" t="n"/>
      <c r="H204" s="52" t="n"/>
      <c r="I204" s="52" t="n"/>
      <c r="J204" s="52" t="n"/>
      <c r="K204" s="52" t="n"/>
      <c r="L204" s="52" t="n"/>
    </row>
    <row r="205" ht="12" customHeight="1">
      <c r="A205" s="53" t="inlineStr">
        <is>
          <t>E — Electrical
ISOLATE
Main electrical disconnect</t>
        </is>
      </c>
      <c r="B205" s="19" t="n"/>
      <c r="C205" s="54" t="inlineStr">
        <is>
          <t>ELECTRICAL - Open the machine's main electrical disconnect to the OFF position. [VERIFY ON SITE: disconnect ID &amp; location]</t>
        </is>
      </c>
      <c r="D205" s="55" t="n"/>
      <c r="E205" s="55" t="n"/>
      <c r="F205" s="55" t="n"/>
      <c r="G205" s="55" t="n"/>
      <c r="H205" s="54" t="n"/>
      <c r="I205" s="55" t="n"/>
      <c r="J205" s="55" t="n"/>
      <c r="K205" s="55" t="n"/>
      <c r="L205" s="55" t="n"/>
    </row>
    <row r="206" ht="12" customHeight="1">
      <c r="A206" s="19" t="n"/>
      <c r="B206" s="19" t="n"/>
      <c r="C206" s="55" t="n"/>
      <c r="D206" s="55" t="n"/>
      <c r="E206" s="55" t="n"/>
      <c r="F206" s="55" t="n"/>
      <c r="G206" s="55" t="n"/>
      <c r="H206" s="55" t="n"/>
      <c r="I206" s="55" t="n"/>
      <c r="J206" s="55" t="n"/>
      <c r="K206" s="55" t="n"/>
      <c r="L206" s="55" t="n"/>
    </row>
    <row r="207" ht="12" customHeight="1">
      <c r="A207" s="19" t="n"/>
      <c r="B207" s="19" t="n"/>
      <c r="C207" s="55" t="n"/>
      <c r="D207" s="55" t="n"/>
      <c r="E207" s="55" t="n"/>
      <c r="F207" s="55" t="n"/>
      <c r="G207" s="55" t="n"/>
      <c r="H207" s="55" t="n"/>
      <c r="I207" s="55" t="n"/>
      <c r="J207" s="55" t="n"/>
      <c r="K207" s="55" t="n"/>
      <c r="L207" s="55" t="n"/>
    </row>
    <row r="208" ht="12" customHeight="1">
      <c r="A208" s="56" t="inlineStr">
        <is>
          <t>H — Hydraulic
ISOLATE
Hydraulic isolation valve</t>
        </is>
      </c>
      <c r="B208" s="23" t="n"/>
      <c r="C208" s="51" t="inlineStr">
        <is>
          <t>HYDRAULIC - Close the hydraulic supply/isolation valve and confirm the pump is de-energized. [VERIFY ON SITE: valve location]</t>
        </is>
      </c>
      <c r="D208" s="52" t="n"/>
      <c r="E208" s="52" t="n"/>
      <c r="F208" s="52" t="n"/>
      <c r="G208" s="52" t="n"/>
      <c r="H208" s="51" t="n"/>
      <c r="I208" s="52" t="n"/>
      <c r="J208" s="52" t="n"/>
      <c r="K208" s="52" t="n"/>
      <c r="L208" s="52" t="n"/>
    </row>
    <row r="209" ht="12" customHeight="1">
      <c r="A209" s="23" t="n"/>
      <c r="B209" s="23" t="n"/>
      <c r="C209" s="52" t="n"/>
      <c r="D209" s="52" t="n"/>
      <c r="E209" s="52" t="n"/>
      <c r="F209" s="52" t="n"/>
      <c r="G209" s="52" t="n"/>
      <c r="H209" s="52" t="n"/>
      <c r="I209" s="52" t="n"/>
      <c r="J209" s="52" t="n"/>
      <c r="K209" s="52" t="n"/>
      <c r="L209" s="52" t="n"/>
    </row>
    <row r="210" ht="12" customHeight="1">
      <c r="A210" s="23" t="n"/>
      <c r="B210" s="23" t="n"/>
      <c r="C210" s="52" t="n"/>
      <c r="D210" s="52" t="n"/>
      <c r="E210" s="52" t="n"/>
      <c r="F210" s="52" t="n"/>
      <c r="G210" s="52" t="n"/>
      <c r="H210" s="52" t="n"/>
      <c r="I210" s="52" t="n"/>
      <c r="J210" s="52" t="n"/>
      <c r="K210" s="52" t="n"/>
      <c r="L210" s="52" t="n"/>
    </row>
    <row r="211" ht="12" customHeight="1">
      <c r="A211" s="57" t="inlineStr">
        <is>
          <t>P — Pneumatic
ISOLATE
Air-supply isolation valve</t>
        </is>
      </c>
      <c r="B211" s="25" t="n"/>
      <c r="C211" s="54" t="inlineStr">
        <is>
          <t>PNEUMATIC - Close the lockable air-supply isolation valve to the machine. [VERIFY ON SITE: valve location]</t>
        </is>
      </c>
      <c r="D211" s="55" t="n"/>
      <c r="E211" s="55" t="n"/>
      <c r="F211" s="55" t="n"/>
      <c r="G211" s="55" t="n"/>
      <c r="H211" s="54" t="n"/>
      <c r="I211" s="55" t="n"/>
      <c r="J211" s="55" t="n"/>
      <c r="K211" s="55" t="n"/>
      <c r="L211" s="55" t="n"/>
    </row>
    <row r="212" ht="12" customHeight="1">
      <c r="A212" s="25" t="n"/>
      <c r="B212" s="25" t="n"/>
      <c r="C212" s="55" t="n"/>
      <c r="D212" s="55" t="n"/>
      <c r="E212" s="55" t="n"/>
      <c r="F212" s="55" t="n"/>
      <c r="G212" s="55" t="n"/>
      <c r="H212" s="55" t="n"/>
      <c r="I212" s="55" t="n"/>
      <c r="J212" s="55" t="n"/>
      <c r="K212" s="55" t="n"/>
      <c r="L212" s="55" t="n"/>
    </row>
    <row r="213" ht="12" customHeight="1">
      <c r="A213" s="25" t="n"/>
      <c r="B213" s="25" t="n"/>
      <c r="C213" s="55" t="n"/>
      <c r="D213" s="55" t="n"/>
      <c r="E213" s="55" t="n"/>
      <c r="F213" s="55" t="n"/>
      <c r="G213" s="55" t="n"/>
      <c r="H213" s="55" t="n"/>
      <c r="I213" s="55" t="n"/>
      <c r="J213" s="55" t="n"/>
      <c r="K213" s="55" t="n"/>
      <c r="L213" s="55" t="n"/>
    </row>
    <row r="214" ht="12" customHeight="1">
      <c r="A214" s="58" t="inlineStr">
        <is>
          <t>M — Mechanical
ISOLATE
Drive brake / rotating parts</t>
        </is>
      </c>
      <c r="B214" s="27" t="n"/>
      <c r="C214" s="51" t="inlineStr">
        <is>
          <t>MECHANICAL - Confirm all drives are commanded off and engage any drive brake / anti-rotation pin provided. [VERIFY ON SITE: brake/pin location]</t>
        </is>
      </c>
      <c r="D214" s="52" t="n"/>
      <c r="E214" s="52" t="n"/>
      <c r="F214" s="52" t="n"/>
      <c r="G214" s="52" t="n"/>
      <c r="H214" s="51" t="n"/>
      <c r="I214" s="52" t="n"/>
      <c r="J214" s="52" t="n"/>
      <c r="K214" s="52" t="n"/>
      <c r="L214" s="52" t="n"/>
    </row>
    <row r="215" ht="12" customHeight="1">
      <c r="A215" s="27" t="n"/>
      <c r="B215" s="27" t="n"/>
      <c r="C215" s="52" t="n"/>
      <c r="D215" s="52" t="n"/>
      <c r="E215" s="52" t="n"/>
      <c r="F215" s="52" t="n"/>
      <c r="G215" s="52" t="n"/>
      <c r="H215" s="52" t="n"/>
      <c r="I215" s="52" t="n"/>
      <c r="J215" s="52" t="n"/>
      <c r="K215" s="52" t="n"/>
      <c r="L215" s="52" t="n"/>
    </row>
    <row r="216" ht="12" customHeight="1">
      <c r="A216" s="27" t="n"/>
      <c r="B216" s="27" t="n"/>
      <c r="C216" s="52" t="n"/>
      <c r="D216" s="52" t="n"/>
      <c r="E216" s="52" t="n"/>
      <c r="F216" s="52" t="n"/>
      <c r="G216" s="52" t="n"/>
      <c r="H216" s="52" t="n"/>
      <c r="I216" s="52" t="n"/>
      <c r="J216" s="52" t="n"/>
      <c r="K216" s="52" t="n"/>
      <c r="L216" s="52" t="n"/>
    </row>
    <row r="217" ht="12" customHeight="1">
      <c r="A217" s="53" t="inlineStr">
        <is>
          <t>E — Electrical
RELEASE STORED ENERGY
Main electrical disconnect</t>
        </is>
      </c>
      <c r="B217" s="19" t="n"/>
      <c r="C217" s="54" t="inlineStr">
        <is>
          <t>ELECTRICAL - Allow VFD/servo DC-bus capacitors to discharge before contact (minimum 5 minutes, or per nameplate). [VERIFY ON SITE: drive discharge time]</t>
        </is>
      </c>
      <c r="D217" s="55" t="n"/>
      <c r="E217" s="55" t="n"/>
      <c r="F217" s="55" t="n"/>
      <c r="G217" s="55" t="n"/>
      <c r="H217" s="54" t="n"/>
      <c r="I217" s="55" t="n"/>
      <c r="J217" s="55" t="n"/>
      <c r="K217" s="55" t="n"/>
      <c r="L217" s="55" t="n"/>
    </row>
    <row r="218" ht="12" customHeight="1">
      <c r="A218" s="19" t="n"/>
      <c r="B218" s="19" t="n"/>
      <c r="C218" s="55" t="n"/>
      <c r="D218" s="55" t="n"/>
      <c r="E218" s="55" t="n"/>
      <c r="F218" s="55" t="n"/>
      <c r="G218" s="55" t="n"/>
      <c r="H218" s="55" t="n"/>
      <c r="I218" s="55" t="n"/>
      <c r="J218" s="55" t="n"/>
      <c r="K218" s="55" t="n"/>
      <c r="L218" s="55" t="n"/>
    </row>
    <row r="219" ht="12" customHeight="1">
      <c r="A219" s="19" t="n"/>
      <c r="B219" s="19" t="n"/>
      <c r="C219" s="55" t="n"/>
      <c r="D219" s="55" t="n"/>
      <c r="E219" s="55" t="n"/>
      <c r="F219" s="55" t="n"/>
      <c r="G219" s="55" t="n"/>
      <c r="H219" s="55" t="n"/>
      <c r="I219" s="55" t="n"/>
      <c r="J219" s="55" t="n"/>
      <c r="K219" s="55" t="n"/>
      <c r="L219" s="55" t="n"/>
    </row>
    <row r="220" ht="12" customHeight="1">
      <c r="A220" s="56" t="inlineStr">
        <is>
          <t>H — Hydraulic
RELEASE STORED ENERGY
Hydraulic isolation valve</t>
        </is>
      </c>
      <c r="B220" s="23" t="n"/>
      <c r="C220" s="51" t="inlineStr">
        <is>
          <t>HYDRAULIC - Relieve hydraulic pressure to 0 AND block any gravity-loaded member (ram, bowl, carriage) before work. [VERIFY ON SITE: blocking method]</t>
        </is>
      </c>
      <c r="D220" s="52" t="n"/>
      <c r="E220" s="52" t="n"/>
      <c r="F220" s="52" t="n"/>
      <c r="G220" s="52" t="n"/>
      <c r="H220" s="51" t="n"/>
      <c r="I220" s="52" t="n"/>
      <c r="J220" s="52" t="n"/>
      <c r="K220" s="52" t="n"/>
      <c r="L220" s="52" t="n"/>
    </row>
    <row r="221" ht="12" customHeight="1">
      <c r="A221" s="23" t="n"/>
      <c r="B221" s="23" t="n"/>
      <c r="C221" s="52" t="n"/>
      <c r="D221" s="52" t="n"/>
      <c r="E221" s="52" t="n"/>
      <c r="F221" s="52" t="n"/>
      <c r="G221" s="52" t="n"/>
      <c r="H221" s="52" t="n"/>
      <c r="I221" s="52" t="n"/>
      <c r="J221" s="52" t="n"/>
      <c r="K221" s="52" t="n"/>
      <c r="L221" s="52" t="n"/>
    </row>
    <row r="222" ht="12" customHeight="1">
      <c r="A222" s="23" t="n"/>
      <c r="B222" s="23" t="n"/>
      <c r="C222" s="52" t="n"/>
      <c r="D222" s="52" t="n"/>
      <c r="E222" s="52" t="n"/>
      <c r="F222" s="52" t="n"/>
      <c r="G222" s="52" t="n"/>
      <c r="H222" s="52" t="n"/>
      <c r="I222" s="52" t="n"/>
      <c r="J222" s="52" t="n"/>
      <c r="K222" s="52" t="n"/>
      <c r="L222" s="52" t="n"/>
    </row>
    <row r="223" ht="12" customHeight="1">
      <c r="A223" s="57" t="inlineStr">
        <is>
          <t>P — Pneumatic
RELEASE STORED ENERGY
Air-supply isolation valve</t>
        </is>
      </c>
      <c r="B223" s="25" t="n"/>
      <c r="C223" s="54" t="inlineStr">
        <is>
          <t>PNEUMATIC - Bleed trapped air downstream of the isolation valve to 0 psi; account for spring-return and vacuum-held actuators.</t>
        </is>
      </c>
      <c r="D223" s="55" t="n"/>
      <c r="E223" s="55" t="n"/>
      <c r="F223" s="55" t="n"/>
      <c r="G223" s="55" t="n"/>
      <c r="H223" s="54" t="n"/>
      <c r="I223" s="55" t="n"/>
      <c r="J223" s="55" t="n"/>
      <c r="K223" s="55" t="n"/>
      <c r="L223" s="55" t="n"/>
    </row>
    <row r="224" ht="12" customHeight="1">
      <c r="A224" s="25" t="n"/>
      <c r="B224" s="25" t="n"/>
      <c r="C224" s="55" t="n"/>
      <c r="D224" s="55" t="n"/>
      <c r="E224" s="55" t="n"/>
      <c r="F224" s="55" t="n"/>
      <c r="G224" s="55" t="n"/>
      <c r="H224" s="55" t="n"/>
      <c r="I224" s="55" t="n"/>
      <c r="J224" s="55" t="n"/>
      <c r="K224" s="55" t="n"/>
      <c r="L224" s="55" t="n"/>
    </row>
    <row r="225" ht="12" customHeight="1">
      <c r="A225" s="25" t="n"/>
      <c r="B225" s="25" t="n"/>
      <c r="C225" s="55" t="n"/>
      <c r="D225" s="55" t="n"/>
      <c r="E225" s="55" t="n"/>
      <c r="F225" s="55" t="n"/>
      <c r="G225" s="55" t="n"/>
      <c r="H225" s="55" t="n"/>
      <c r="I225" s="55" t="n"/>
      <c r="J225" s="55" t="n"/>
      <c r="K225" s="55" t="n"/>
      <c r="L225" s="55" t="n"/>
    </row>
    <row r="226" ht="12" customHeight="1">
      <c r="A226" s="58" t="inlineStr">
        <is>
          <t>M — Mechanical
RELEASE STORED ENERGY
Drive brake / rotating parts</t>
        </is>
      </c>
      <c r="B226" s="27" t="n"/>
      <c r="C226" s="51" t="inlineStr">
        <is>
          <t>MECHANICAL - Allow all rotating or coasting parts (motors, fans, flywheels, blades, rollers) to come to a complete stop.</t>
        </is>
      </c>
      <c r="D226" s="52" t="n"/>
      <c r="E226" s="52" t="n"/>
      <c r="F226" s="52" t="n"/>
      <c r="G226" s="52" t="n"/>
      <c r="H226" s="51" t="n"/>
      <c r="I226" s="52" t="n"/>
      <c r="J226" s="52" t="n"/>
      <c r="K226" s="52" t="n"/>
      <c r="L226" s="52" t="n"/>
    </row>
    <row r="227" ht="12" customHeight="1">
      <c r="A227" s="27" t="n"/>
      <c r="B227" s="27" t="n"/>
      <c r="C227" s="52" t="n"/>
      <c r="D227" s="52" t="n"/>
      <c r="E227" s="52" t="n"/>
      <c r="F227" s="52" t="n"/>
      <c r="G227" s="52" t="n"/>
      <c r="H227" s="52" t="n"/>
      <c r="I227" s="52" t="n"/>
      <c r="J227" s="52" t="n"/>
      <c r="K227" s="52" t="n"/>
      <c r="L227" s="52" t="n"/>
    </row>
    <row r="228" ht="12" customHeight="1">
      <c r="A228" s="27" t="n"/>
      <c r="B228" s="27" t="n"/>
      <c r="C228" s="52" t="n"/>
      <c r="D228" s="52" t="n"/>
      <c r="E228" s="52" t="n"/>
      <c r="F228" s="52" t="n"/>
      <c r="G228" s="52" t="n"/>
      <c r="H228" s="52" t="n"/>
      <c r="I228" s="52" t="n"/>
      <c r="J228" s="52" t="n"/>
      <c r="K228" s="52" t="n"/>
      <c r="L228" s="52" t="n"/>
    </row>
    <row r="229" ht="12" customHeight="1">
      <c r="A229" s="49" t="inlineStr">
        <is>
          <t>N — None
LOCKOUT
All isolation devices listed above</t>
        </is>
      </c>
      <c r="B229" s="50" t="n"/>
      <c r="C229" s="54" t="inlineStr">
        <is>
          <t>Apply an assigned lock AND a durable tag at EACH isolating device listed above. Each authorized worker applies their own lock (group lockout where required).</t>
        </is>
      </c>
      <c r="D229" s="55" t="n"/>
      <c r="E229" s="55" t="n"/>
      <c r="F229" s="55" t="n"/>
      <c r="G229" s="55" t="n"/>
      <c r="H229" s="54" t="n"/>
      <c r="I229" s="55" t="n"/>
      <c r="J229" s="55" t="n"/>
      <c r="K229" s="55" t="n"/>
      <c r="L229" s="55" t="n"/>
    </row>
    <row r="230" ht="12" customHeight="1">
      <c r="A230" s="50" t="n"/>
      <c r="B230" s="50" t="n"/>
      <c r="C230" s="55" t="n"/>
      <c r="D230" s="55" t="n"/>
      <c r="E230" s="55" t="n"/>
      <c r="F230" s="55" t="n"/>
      <c r="G230" s="55" t="n"/>
      <c r="H230" s="55" t="n"/>
      <c r="I230" s="55" t="n"/>
      <c r="J230" s="55" t="n"/>
      <c r="K230" s="55" t="n"/>
      <c r="L230" s="55" t="n"/>
    </row>
    <row r="231" ht="12" customHeight="1">
      <c r="A231" s="50" t="n"/>
      <c r="B231" s="50" t="n"/>
      <c r="C231" s="55" t="n"/>
      <c r="D231" s="55" t="n"/>
      <c r="E231" s="55" t="n"/>
      <c r="F231" s="55" t="n"/>
      <c r="G231" s="55" t="n"/>
      <c r="H231" s="55" t="n"/>
      <c r="I231" s="55" t="n"/>
      <c r="J231" s="55" t="n"/>
      <c r="K231" s="55" t="n"/>
      <c r="L231" s="55" t="n"/>
    </row>
    <row r="232" ht="12" customHeight="1">
      <c r="A232" s="53" t="inlineStr">
        <is>
          <t>E — Electrical
VERIFY ZERO ENERGY
Main electrical disconnect</t>
        </is>
      </c>
      <c r="B232" s="19" t="n"/>
      <c r="C232" s="51" t="inlineStr">
        <is>
          <t>ELECTRICAL - With a calibrated meter, verify 0 V on the load side of the disconnect, phase-to-phase and phase-to-ground (test the meter on a known live source first and after).</t>
        </is>
      </c>
      <c r="D232" s="52" t="n"/>
      <c r="E232" s="52" t="n"/>
      <c r="F232" s="52" t="n"/>
      <c r="G232" s="52" t="n"/>
      <c r="H232" s="51" t="inlineStr">
        <is>
          <t>ELECTRICAL - With a calibrated meter, verify 0 V on the load side of the disconnect, phase-to-phase and phase-to-ground (test the meter on a known live source first and after).</t>
        </is>
      </c>
      <c r="I232" s="52" t="n"/>
      <c r="J232" s="52" t="n"/>
      <c r="K232" s="52" t="n"/>
      <c r="L232" s="52" t="n"/>
    </row>
    <row r="233" ht="12" customHeight="1">
      <c r="A233" s="19" t="n"/>
      <c r="B233" s="19" t="n"/>
      <c r="C233" s="52" t="n"/>
      <c r="D233" s="52" t="n"/>
      <c r="E233" s="52" t="n"/>
      <c r="F233" s="52" t="n"/>
      <c r="G233" s="52" t="n"/>
      <c r="H233" s="52" t="n"/>
      <c r="I233" s="52" t="n"/>
      <c r="J233" s="52" t="n"/>
      <c r="K233" s="52" t="n"/>
      <c r="L233" s="52" t="n"/>
    </row>
    <row r="234" ht="12" customHeight="1">
      <c r="A234" s="19" t="n"/>
      <c r="B234" s="19" t="n"/>
      <c r="C234" s="52" t="n"/>
      <c r="D234" s="52" t="n"/>
      <c r="E234" s="52" t="n"/>
      <c r="F234" s="52" t="n"/>
      <c r="G234" s="52" t="n"/>
      <c r="H234" s="52" t="n"/>
      <c r="I234" s="52" t="n"/>
      <c r="J234" s="52" t="n"/>
      <c r="K234" s="52" t="n"/>
      <c r="L234" s="52" t="n"/>
    </row>
    <row r="235" ht="12" customHeight="1">
      <c r="A235" s="56" t="inlineStr">
        <is>
          <t>H — Hydraulic
VERIFY ZERO ENERGY
Hydraulic isolation valve</t>
        </is>
      </c>
      <c r="B235" s="23" t="n"/>
      <c r="C235" s="54" t="inlineStr">
        <is>
          <t>HYDRAULIC - Confirm the hydraulic gauge reads 0 and the gravity-loaded member is physically blocked.</t>
        </is>
      </c>
      <c r="D235" s="55" t="n"/>
      <c r="E235" s="55" t="n"/>
      <c r="F235" s="55" t="n"/>
      <c r="G235" s="55" t="n"/>
      <c r="H235" s="54" t="inlineStr">
        <is>
          <t>HYDRAULIC - Confirm the hydraulic gauge reads 0 and the gravity-loaded member is physically blocked.</t>
        </is>
      </c>
      <c r="I235" s="55" t="n"/>
      <c r="J235" s="55" t="n"/>
      <c r="K235" s="55" t="n"/>
      <c r="L235" s="55" t="n"/>
    </row>
    <row r="236" ht="12" customHeight="1">
      <c r="A236" s="23" t="n"/>
      <c r="B236" s="23" t="n"/>
      <c r="C236" s="55" t="n"/>
      <c r="D236" s="55" t="n"/>
      <c r="E236" s="55" t="n"/>
      <c r="F236" s="55" t="n"/>
      <c r="G236" s="55" t="n"/>
      <c r="H236" s="55" t="n"/>
      <c r="I236" s="55" t="n"/>
      <c r="J236" s="55" t="n"/>
      <c r="K236" s="55" t="n"/>
      <c r="L236" s="55" t="n"/>
    </row>
    <row r="237" ht="12" customHeight="1">
      <c r="A237" s="23" t="n"/>
      <c r="B237" s="23" t="n"/>
      <c r="C237" s="55" t="n"/>
      <c r="D237" s="55" t="n"/>
      <c r="E237" s="55" t="n"/>
      <c r="F237" s="55" t="n"/>
      <c r="G237" s="55" t="n"/>
      <c r="H237" s="55" t="n"/>
      <c r="I237" s="55" t="n"/>
      <c r="J237" s="55" t="n"/>
      <c r="K237" s="55" t="n"/>
      <c r="L237" s="55" t="n"/>
    </row>
    <row r="238" ht="12" customHeight="1">
      <c r="A238" s="57" t="inlineStr">
        <is>
          <t>P — Pneumatic
VERIFY ZERO ENERGY
Air-supply isolation valve</t>
        </is>
      </c>
      <c r="B238" s="25" t="n"/>
      <c r="C238" s="51" t="inlineStr">
        <is>
          <t>PNEUMATIC - Confirm the downstream air gauge reads 0 psi.</t>
        </is>
      </c>
      <c r="D238" s="52" t="n"/>
      <c r="E238" s="52" t="n"/>
      <c r="F238" s="52" t="n"/>
      <c r="G238" s="52" t="n"/>
      <c r="H238" s="51" t="inlineStr">
        <is>
          <t>PNEUMATIC - Confirm the downstream air gauge reads 0 psi.</t>
        </is>
      </c>
      <c r="I238" s="52" t="n"/>
      <c r="J238" s="52" t="n"/>
      <c r="K238" s="52" t="n"/>
      <c r="L238" s="52" t="n"/>
    </row>
    <row r="239" ht="12" customHeight="1">
      <c r="A239" s="25" t="n"/>
      <c r="B239" s="25" t="n"/>
      <c r="C239" s="52" t="n"/>
      <c r="D239" s="52" t="n"/>
      <c r="E239" s="52" t="n"/>
      <c r="F239" s="52" t="n"/>
      <c r="G239" s="52" t="n"/>
      <c r="H239" s="52" t="n"/>
      <c r="I239" s="52" t="n"/>
      <c r="J239" s="52" t="n"/>
      <c r="K239" s="52" t="n"/>
      <c r="L239" s="52" t="n"/>
    </row>
    <row r="240" ht="12" customHeight="1">
      <c r="A240" s="25" t="n"/>
      <c r="B240" s="25" t="n"/>
      <c r="C240" s="52" t="n"/>
      <c r="D240" s="52" t="n"/>
      <c r="E240" s="52" t="n"/>
      <c r="F240" s="52" t="n"/>
      <c r="G240" s="52" t="n"/>
      <c r="H240" s="52" t="n"/>
      <c r="I240" s="52" t="n"/>
      <c r="J240" s="52" t="n"/>
      <c r="K240" s="52" t="n"/>
      <c r="L240" s="52" t="n"/>
    </row>
    <row r="241" ht="12" customHeight="1">
      <c r="A241" s="49" t="inlineStr">
        <is>
          <t>N — None
VERIFY ZERO ENERGY
Tryout at operating controls</t>
        </is>
      </c>
      <c r="B241" s="50" t="n"/>
      <c r="C241" s="54" t="inlineStr">
        <is>
          <t>Attempt to start the machine from its normal controls to confirm no response, then return all controls to OFF / neutral.</t>
        </is>
      </c>
      <c r="D241" s="55" t="n"/>
      <c r="E241" s="55" t="n"/>
      <c r="F241" s="55" t="n"/>
      <c r="G241" s="55" t="n"/>
      <c r="H241" s="54" t="inlineStr">
        <is>
          <t>Attempt to start the machine from its normal controls to confirm no response, then return all controls to OFF / neutral.</t>
        </is>
      </c>
      <c r="I241" s="55" t="n"/>
      <c r="J241" s="55" t="n"/>
      <c r="K241" s="55" t="n"/>
      <c r="L241" s="55" t="n"/>
    </row>
    <row r="242" ht="12" customHeight="1">
      <c r="A242" s="50" t="n"/>
      <c r="B242" s="50" t="n"/>
      <c r="C242" s="55" t="n"/>
      <c r="D242" s="55" t="n"/>
      <c r="E242" s="55" t="n"/>
      <c r="F242" s="55" t="n"/>
      <c r="G242" s="55" t="n"/>
      <c r="H242" s="55" t="n"/>
      <c r="I242" s="55" t="n"/>
      <c r="J242" s="55" t="n"/>
      <c r="K242" s="55" t="n"/>
      <c r="L242" s="55" t="n"/>
    </row>
    <row r="243" ht="12" customHeight="1">
      <c r="A243" s="50" t="n"/>
      <c r="B243" s="50" t="n"/>
      <c r="C243" s="55" t="n"/>
      <c r="D243" s="55" t="n"/>
      <c r="E243" s="55" t="n"/>
      <c r="F243" s="55" t="n"/>
      <c r="G243" s="55" t="n"/>
      <c r="H243" s="55" t="n"/>
      <c r="I243" s="55" t="n"/>
      <c r="J243" s="55" t="n"/>
      <c r="K243" s="55" t="n"/>
      <c r="L243" s="55" t="n"/>
    </row>
    <row r="244" ht="13" customHeight="1">
      <c r="A244" s="17" t="inlineStr">
        <is>
          <t>LOCKOUT REMOVAL PROCESS</t>
        </is>
      </c>
      <c r="B244" s="13" t="n"/>
      <c r="C244" s="13" t="n"/>
      <c r="D244" s="13" t="n"/>
      <c r="E244" s="13" t="n"/>
      <c r="F244" s="13" t="n"/>
      <c r="G244" s="13" t="n"/>
      <c r="H244" s="13" t="n"/>
      <c r="I244" s="13" t="n"/>
      <c r="J244" s="13" t="n"/>
      <c r="K244" s="13" t="n"/>
      <c r="L244" s="13" t="n"/>
    </row>
    <row r="245" ht="12" customHeight="1">
      <c r="A245" s="59" t="inlineStr">
        <is>
          <t>1. Notify all AFFECTED employees that lockout is being removed
2. Inspect the work area to ensure tools and items have been removed
3. Verify that all employees are clear of the equipment
4. Verify that controls are in the neutral or off position</t>
        </is>
      </c>
      <c r="G245" s="59" t="inlineStr">
        <is>
          <t>5. Remove lockout devices, locks, and tags
6. Re-energize the equipment
7. Notify all AFFECTED employees that the equipment is back in service</t>
        </is>
      </c>
    </row>
    <row r="246" ht="12" customHeight="1"/>
    <row r="247" ht="12" customHeight="1"/>
    <row r="248" ht="12" customHeight="1"/>
    <row r="249" ht="9" customHeight="1">
      <c r="A249" s="60" t="inlineStr">
        <is>
          <t>Spanish translation on reverse — print double-sided.</t>
        </is>
      </c>
    </row>
    <row r="250" ht="18" customHeight="1">
      <c r="A250" s="61" t="inlineStr">
        <is>
          <t>Signature</t>
        </is>
      </c>
      <c r="B250" s="62" t="n"/>
      <c r="C250" s="62" t="n"/>
      <c r="D250" s="61" t="inlineStr">
        <is>
          <t>Date</t>
        </is>
      </c>
      <c r="E250" s="62" t="n"/>
      <c r="F250" s="62" t="n"/>
      <c r="G250" s="61" t="inlineStr">
        <is>
          <t>Dept</t>
        </is>
      </c>
      <c r="H250" s="62" t="n"/>
      <c r="I250" s="62" t="n"/>
      <c r="J250" s="61" t="inlineStr">
        <is>
          <t>See PM Store in PT Folder</t>
        </is>
      </c>
      <c r="K250" s="62" t="n"/>
      <c r="L250" s="62" t="n"/>
    </row>
    <row r="251"/>
    <row r="252" ht="24" customHeight="1">
      <c r="A252" s="6" t="inlineStr">
        <is>
          <t>PROCEDIMIENTO DE BLOQUEO/ETIQUETADO</t>
        </is>
      </c>
      <c r="B252" s="7" t="n"/>
      <c r="C252" s="7" t="n"/>
      <c r="D252" s="7" t="n"/>
      <c r="E252" s="7" t="n"/>
      <c r="F252" s="7" t="n"/>
      <c r="G252" s="7" t="n"/>
      <c r="H252" s="7" t="n"/>
      <c r="I252" s="7" t="n"/>
      <c r="J252" s="7" t="n"/>
      <c r="K252" s="7" t="n"/>
      <c r="L252" s="7" t="n"/>
    </row>
    <row r="253" ht="12" customHeight="1">
      <c r="A253" s="8" t="inlineStr">
        <is>
          <t>[ES]   Fecha: 2026-08-29   ·   Escanee para placa digital</t>
        </is>
      </c>
      <c r="B253" s="7" t="n"/>
      <c r="C253" s="7" t="n"/>
      <c r="D253" s="7" t="n"/>
      <c r="E253" s="7" t="n"/>
      <c r="F253" s="7" t="n"/>
      <c r="G253" s="7" t="n"/>
      <c r="H253" s="7" t="n"/>
      <c r="I253" s="7" t="n"/>
      <c r="J253" s="7" t="n"/>
      <c r="K253" s="7" t="n"/>
      <c r="L253" s="7" t="n"/>
    </row>
    <row r="254" ht="13" customHeight="1">
      <c r="A254" s="63" t="inlineStr">
        <is>
          <t>BORRADOR — NO REVISADO  ·  traducción sin revisar</t>
        </is>
      </c>
      <c r="B254" s="64" t="n"/>
      <c r="C254" s="64" t="n"/>
      <c r="D254" s="64" t="n"/>
      <c r="E254" s="64" t="n"/>
      <c r="F254" s="64" t="n"/>
      <c r="G254" s="64" t="n"/>
      <c r="H254" s="64" t="n"/>
      <c r="I254" s="64" t="n"/>
      <c r="J254" s="64" t="n"/>
      <c r="K254" s="64" t="n"/>
      <c r="L254" s="64" t="n"/>
    </row>
    <row r="255" ht="16" customHeight="1">
      <c r="A255" s="9" t="inlineStr">
        <is>
          <t>EQUIPO: 321-MX-01 (Shaffer Masa Mixer - Line 321 Pop Chip)</t>
        </is>
      </c>
      <c r="B255" s="10" t="n"/>
      <c r="C255" s="10" t="n"/>
      <c r="D255" s="10" t="n"/>
      <c r="E255" s="10" t="n"/>
      <c r="F255" s="10" t="n"/>
      <c r="G255" s="10" t="n"/>
      <c r="H255" s="10" t="n"/>
      <c r="I255" s="11" t="inlineStr">
        <is>
          <t>Mixers</t>
        </is>
      </c>
      <c r="J255" s="10" t="n"/>
      <c r="K255" s="10" t="n"/>
      <c r="L255" s="10" t="n"/>
    </row>
    <row r="256" ht="14" customHeight="1">
      <c r="A256" s="12" t="inlineStr">
        <is>
          <t>¡MANTÉNGASE ALEJADO! VOLTAJE PELIGROSO Y PIEZAS EN MOVIMIENTO</t>
        </is>
      </c>
      <c r="B256" s="13" t="n"/>
      <c r="C256" s="13" t="n"/>
      <c r="D256" s="13" t="n"/>
      <c r="E256" s="13" t="n"/>
      <c r="F256" s="13" t="n"/>
      <c r="G256" s="13" t="n"/>
      <c r="H256" s="13" t="n"/>
      <c r="I256" s="13" t="n"/>
      <c r="J256" s="13" t="n"/>
      <c r="K256" s="13" t="n"/>
      <c r="L256" s="13" t="n"/>
    </row>
    <row r="257" ht="12" customHeight="1">
      <c r="A257" s="14" t="inlineStr">
        <is>
          <t>PHOTO_FIX 2026-05-13: EQ repointed from 302-MX-1-EQ (Line 302 borrow) to machine-specific 321-MX-01_equip_2026-04-20. IP using canonical Shaffer Masa Mixer disconnect (same model as 302).</t>
        </is>
      </c>
      <c r="B257" s="13" t="n"/>
      <c r="C257" s="13" t="n"/>
      <c r="D257" s="13" t="n"/>
      <c r="E257" s="13" t="n"/>
      <c r="F257" s="13" t="n"/>
      <c r="G257" s="13" t="n"/>
      <c r="H257" s="13" t="n"/>
      <c r="I257" s="13" t="n"/>
      <c r="J257" s="13" t="n"/>
      <c r="K257" s="13" t="n"/>
      <c r="L257" s="13" t="n"/>
    </row>
    <row r="258" ht="12" customHeight="1">
      <c r="A258" s="15" t="inlineStr">
        <is>
          <t>PROPÓSITO</t>
        </is>
      </c>
      <c r="H258" s="15" t="inlineStr">
        <is>
          <t>PROCESO DE APLICACIÓN DE BLOQUEO</t>
        </is>
      </c>
    </row>
    <row r="259" ht="12" customHeight="1">
      <c r="A25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0" ht="12" customHeight="1"/>
    <row r="261" ht="12" customHeight="1"/>
    <row r="262" ht="12" customHeight="1"/>
    <row r="263" ht="12" customHeight="1"/>
    <row r="264" ht="12" customHeight="1"/>
    <row r="265" ht="12" customHeight="1"/>
    <row r="266" ht="14" customHeight="1">
      <c r="A266" s="17" t="inlineStr">
        <is>
          <t>CÓDIGOS DE COLOR</t>
        </is>
      </c>
      <c r="B266" s="13" t="n"/>
      <c r="C266" s="13" t="n"/>
      <c r="D266" s="13" t="n"/>
      <c r="E266" s="13" t="n"/>
      <c r="F266" s="13" t="n"/>
      <c r="G266" s="13" t="n"/>
      <c r="H266" s="13" t="n"/>
      <c r="I266" s="13" t="n"/>
      <c r="J266" s="13" t="n"/>
      <c r="K266" s="13" t="n"/>
      <c r="L266" s="13" t="n"/>
    </row>
    <row r="267" ht="12" customHeight="1">
      <c r="A267" s="18" t="inlineStr">
        <is>
          <t>E = Eléctrico</t>
        </is>
      </c>
      <c r="B267" s="19" t="n"/>
      <c r="C267" s="20" t="inlineStr">
        <is>
          <t>G = Gas</t>
        </is>
      </c>
      <c r="D267" s="21" t="n"/>
      <c r="E267" s="22" t="inlineStr">
        <is>
          <t>H = Hidráulico</t>
        </is>
      </c>
      <c r="F267" s="23" t="n"/>
      <c r="G267" s="24" t="inlineStr">
        <is>
          <t>P = Neumático</t>
        </is>
      </c>
      <c r="H267" s="25" t="n"/>
      <c r="I267" s="26" t="inlineStr">
        <is>
          <t>M = Mecánico</t>
        </is>
      </c>
      <c r="J267" s="27" t="n"/>
      <c r="K267" s="28" t="inlineStr">
        <is>
          <t>T = Térmico</t>
        </is>
      </c>
      <c r="L267" s="29" t="n"/>
    </row>
    <row r="268" ht="12" customHeight="1">
      <c r="A268" s="30" t="inlineStr">
        <is>
          <t>W = Agua</t>
        </is>
      </c>
      <c r="B268" s="31" t="n"/>
      <c r="C268" s="32" t="inlineStr">
        <is>
          <t>S = Vapor</t>
        </is>
      </c>
      <c r="D268" s="33" t="n"/>
      <c r="E268" s="34" t="inlineStr">
        <is>
          <t>V = Válvula</t>
        </is>
      </c>
      <c r="F268" s="35" t="n"/>
      <c r="G268" s="36" t="inlineStr">
        <is>
          <t>CG = Gas Comprimido</t>
        </is>
      </c>
      <c r="H268" s="37" t="n"/>
      <c r="I268" s="38" t="inlineStr">
        <is>
          <t>CP = Panel Control</t>
        </is>
      </c>
      <c r="J268" s="39" t="n"/>
      <c r="K268" s="40" t="inlineStr">
        <is>
          <t>GR = Gravedad</t>
        </is>
      </c>
      <c r="L268" s="41" t="n"/>
    </row>
    <row r="269" ht="14" customHeight="1">
      <c r="A269" s="42" t="inlineStr">
        <is>
          <t>IDENTIFICACIÓN DEL EQUIPO Y PROCEDIMIENTO DE AISLAMIENTO DE ENERGÍA</t>
        </is>
      </c>
      <c r="B269" s="43" t="n"/>
      <c r="C269" s="43" t="n"/>
      <c r="D269" s="43" t="n"/>
      <c r="E269" s="43" t="n"/>
      <c r="F269" s="43" t="n"/>
      <c r="G269" s="43" t="n"/>
      <c r="H269" s="43" t="n"/>
      <c r="I269" s="43" t="n"/>
      <c r="J269" s="43" t="n"/>
      <c r="K269" s="43" t="n"/>
      <c r="L269" s="43" t="n"/>
    </row>
    <row r="270" ht="14" customHeight="1">
      <c r="A270" s="44" t="n"/>
      <c r="B270" s="45" t="n"/>
      <c r="C270" s="45" t="n"/>
      <c r="D270" s="45" t="n"/>
      <c r="E270" s="45" t="n"/>
      <c r="F270" s="45" t="n"/>
      <c r="G270" s="44" t="n"/>
      <c r="H270" s="45" t="n"/>
      <c r="I270" s="45" t="n"/>
      <c r="J270" s="45" t="n"/>
      <c r="K270" s="45" t="n"/>
      <c r="L270" s="45" t="n"/>
    </row>
    <row r="271" ht="14" customHeight="1">
      <c r="A271" s="45" t="n"/>
      <c r="B271" s="45" t="n"/>
      <c r="C271" s="45" t="n"/>
      <c r="D271" s="45" t="n"/>
      <c r="E271" s="45" t="n"/>
      <c r="F271" s="45" t="n"/>
      <c r="G271" s="45" t="n"/>
      <c r="H271" s="45" t="n"/>
      <c r="I271" s="45" t="n"/>
      <c r="J271" s="45" t="n"/>
      <c r="K271" s="45" t="n"/>
      <c r="L271" s="45" t="n"/>
    </row>
    <row r="272" ht="14" customHeight="1">
      <c r="A272" s="45" t="n"/>
      <c r="B272" s="45" t="n"/>
      <c r="C272" s="45" t="n"/>
      <c r="D272" s="45" t="n"/>
      <c r="E272" s="45" t="n"/>
      <c r="F272" s="45" t="n"/>
      <c r="G272" s="45" t="n"/>
      <c r="H272" s="45" t="n"/>
      <c r="I272" s="45" t="n"/>
      <c r="J272" s="45" t="n"/>
      <c r="K272" s="45" t="n"/>
      <c r="L272" s="45" t="n"/>
    </row>
    <row r="273" ht="14" customHeight="1">
      <c r="A273" s="45" t="n"/>
      <c r="B273" s="45" t="n"/>
      <c r="C273" s="45" t="n"/>
      <c r="D273" s="45" t="n"/>
      <c r="E273" s="45" t="n"/>
      <c r="F273" s="45" t="n"/>
      <c r="G273" s="45" t="n"/>
      <c r="H273" s="45" t="n"/>
      <c r="I273" s="45" t="n"/>
      <c r="J273" s="45" t="n"/>
      <c r="K273" s="45" t="n"/>
      <c r="L273" s="45" t="n"/>
    </row>
    <row r="274" ht="14" customHeight="1">
      <c r="A274" s="45" t="n"/>
      <c r="B274" s="45" t="n"/>
      <c r="C274" s="45" t="n"/>
      <c r="D274" s="45" t="n"/>
      <c r="E274" s="45" t="n"/>
      <c r="F274" s="45" t="n"/>
      <c r="G274" s="45" t="n"/>
      <c r="H274" s="45" t="n"/>
      <c r="I274" s="45" t="n"/>
      <c r="J274" s="45" t="n"/>
      <c r="K274" s="45" t="n"/>
      <c r="L274" s="45" t="n"/>
    </row>
    <row r="275" ht="14" customHeight="1">
      <c r="A275" s="45" t="n"/>
      <c r="B275" s="45" t="n"/>
      <c r="C275" s="45" t="n"/>
      <c r="D275" s="45" t="n"/>
      <c r="E275" s="45" t="n"/>
      <c r="F275" s="45" t="n"/>
      <c r="G275" s="45" t="n"/>
      <c r="H275" s="45" t="n"/>
      <c r="I275" s="45" t="n"/>
      <c r="J275" s="45" t="n"/>
      <c r="K275" s="45" t="n"/>
      <c r="L275" s="45" t="n"/>
    </row>
    <row r="276" ht="14" customHeight="1">
      <c r="A276" s="45" t="n"/>
      <c r="B276" s="45" t="n"/>
      <c r="C276" s="45" t="n"/>
      <c r="D276" s="45" t="n"/>
      <c r="E276" s="45" t="n"/>
      <c r="F276" s="45" t="n"/>
      <c r="G276" s="45" t="n"/>
      <c r="H276" s="45" t="n"/>
      <c r="I276" s="45" t="n"/>
      <c r="J276" s="45" t="n"/>
      <c r="K276" s="45" t="n"/>
      <c r="L276" s="45" t="n"/>
    </row>
    <row r="277" ht="14" customHeight="1">
      <c r="A277" s="45" t="n"/>
      <c r="B277" s="45" t="n"/>
      <c r="C277" s="45" t="n"/>
      <c r="D277" s="45" t="n"/>
      <c r="E277" s="45" t="n"/>
      <c r="F277" s="45" t="n"/>
      <c r="G277" s="45" t="n"/>
      <c r="H277" s="45" t="n"/>
      <c r="I277" s="45" t="n"/>
      <c r="J277" s="45" t="n"/>
      <c r="K277" s="45" t="n"/>
      <c r="L277" s="45" t="n"/>
    </row>
    <row r="278" ht="14" customHeight="1">
      <c r="A278" s="45" t="n"/>
      <c r="B278" s="45" t="n"/>
      <c r="C278" s="45" t="n"/>
      <c r="D278" s="45" t="n"/>
      <c r="E278" s="45" t="n"/>
      <c r="F278" s="45" t="n"/>
      <c r="G278" s="45" t="n"/>
      <c r="H278" s="45" t="n"/>
      <c r="I278" s="45" t="n"/>
      <c r="J278" s="45" t="n"/>
      <c r="K278" s="45" t="n"/>
      <c r="L278" s="45" t="n"/>
    </row>
    <row r="279" ht="14" customHeight="1">
      <c r="A279" s="45" t="n"/>
      <c r="B279" s="45" t="n"/>
      <c r="C279" s="45" t="n"/>
      <c r="D279" s="45" t="n"/>
      <c r="E279" s="45" t="n"/>
      <c r="F279" s="45" t="n"/>
      <c r="G279" s="45" t="n"/>
      <c r="H279" s="45" t="n"/>
      <c r="I279" s="45" t="n"/>
      <c r="J279" s="45" t="n"/>
      <c r="K279" s="45" t="n"/>
      <c r="L279" s="45" t="n"/>
    </row>
    <row r="280" ht="14" customHeight="1">
      <c r="A280" s="45" t="n"/>
      <c r="B280" s="45" t="n"/>
      <c r="C280" s="45" t="n"/>
      <c r="D280" s="45" t="n"/>
      <c r="E280" s="45" t="n"/>
      <c r="F280" s="45" t="n"/>
      <c r="G280" s="45" t="n"/>
      <c r="H280" s="45" t="n"/>
      <c r="I280" s="45" t="n"/>
      <c r="J280" s="45" t="n"/>
      <c r="K280" s="45" t="n"/>
      <c r="L280" s="45" t="n"/>
    </row>
    <row r="281" ht="14" customHeight="1">
      <c r="A281" s="45" t="n"/>
      <c r="B281" s="45" t="n"/>
      <c r="C281" s="45" t="n"/>
      <c r="D281" s="45" t="n"/>
      <c r="E281" s="45" t="n"/>
      <c r="F281" s="45" t="n"/>
      <c r="G281" s="45" t="n"/>
      <c r="H281" s="45" t="n"/>
      <c r="I281" s="45" t="n"/>
      <c r="J281" s="45" t="n"/>
      <c r="K281" s="45" t="n"/>
      <c r="L281" s="45" t="n"/>
    </row>
    <row r="282" ht="14" customHeight="1">
      <c r="A282" s="45" t="n"/>
      <c r="B282" s="45" t="n"/>
      <c r="C282" s="45" t="n"/>
      <c r="D282" s="45" t="n"/>
      <c r="E282" s="45" t="n"/>
      <c r="F282" s="45" t="n"/>
      <c r="G282" s="45" t="n"/>
      <c r="H282" s="45" t="n"/>
      <c r="I282" s="45" t="n"/>
      <c r="J282" s="45" t="n"/>
      <c r="K282" s="45" t="n"/>
      <c r="L282" s="45" t="n"/>
    </row>
    <row r="283" ht="14" customHeight="1">
      <c r="A283" s="45" t="n"/>
      <c r="B283" s="45" t="n"/>
      <c r="C283" s="45" t="n"/>
      <c r="D283" s="45" t="n"/>
      <c r="E283" s="45" t="n"/>
      <c r="F283" s="45" t="n"/>
      <c r="G283" s="45" t="n"/>
      <c r="H283" s="45" t="n"/>
      <c r="I283" s="45" t="n"/>
      <c r="J283" s="45" t="n"/>
      <c r="K283" s="45" t="n"/>
      <c r="L283" s="45" t="n"/>
    </row>
    <row r="284" ht="11" customHeight="1">
      <c r="A284" s="46" t="inlineStr">
        <is>
          <t>FOTO DEL EQUIPO</t>
        </is>
      </c>
      <c r="B284" s="45" t="n"/>
      <c r="C284" s="45" t="n"/>
      <c r="D284" s="45" t="n"/>
      <c r="E284" s="45" t="n"/>
      <c r="F284" s="45" t="n"/>
      <c r="G284" s="46" t="inlineStr">
        <is>
          <t>FOTO DE AISLAMIENTO / DESCONEXIÓN</t>
        </is>
      </c>
      <c r="H284" s="45" t="n"/>
      <c r="I284" s="45" t="n"/>
      <c r="J284" s="45" t="n"/>
      <c r="K284" s="45" t="n"/>
      <c r="L284" s="45" t="n"/>
    </row>
    <row r="285" ht="14" customHeight="1">
      <c r="A285" s="47" t="inlineStr">
        <is>
          <t>Etiqueta y Descripción</t>
        </is>
      </c>
      <c r="B285" s="48" t="n"/>
      <c r="C285" s="47" t="inlineStr">
        <is>
          <t>Procedimiento de Aislamiento y Dispositivos</t>
        </is>
      </c>
      <c r="D285" s="48" t="n"/>
      <c r="E285" s="48" t="n"/>
      <c r="F285" s="48" t="n"/>
      <c r="G285" s="48" t="n"/>
      <c r="H285" s="47" t="inlineStr">
        <is>
          <t>Método de Verificación</t>
        </is>
      </c>
      <c r="I285" s="48" t="n"/>
      <c r="J285" s="48" t="n"/>
      <c r="K285" s="48" t="n"/>
      <c r="L285" s="48" t="n"/>
    </row>
    <row r="286" ht="12" customHeight="1">
      <c r="A286" s="49" t="inlineStr">
        <is>
          <t>N — Ninguno
APAGADO
Controles de operacion (paro normal)</t>
        </is>
      </c>
      <c r="B286" s="50" t="n"/>
      <c r="C286" s="51" t="inlineStr">
        <is>
          <t>Notifique a todos los empleados afectados de produccion y sanidad; luego detenga la maquina de forma normal y controlada con sus controles de operacion.</t>
        </is>
      </c>
      <c r="D286" s="52" t="n"/>
      <c r="E286" s="52" t="n"/>
      <c r="F286" s="52" t="n"/>
      <c r="G286" s="52" t="n"/>
      <c r="H286" s="51" t="n"/>
      <c r="I286" s="52" t="n"/>
      <c r="J286" s="52" t="n"/>
      <c r="K286" s="52" t="n"/>
      <c r="L286" s="52" t="n"/>
    </row>
    <row r="287" ht="12" customHeight="1">
      <c r="A287" s="50" t="n"/>
      <c r="B287" s="50" t="n"/>
      <c r="C287" s="52" t="n"/>
      <c r="D287" s="52" t="n"/>
      <c r="E287" s="52" t="n"/>
      <c r="F287" s="52" t="n"/>
      <c r="G287" s="52" t="n"/>
      <c r="H287" s="52" t="n"/>
      <c r="I287" s="52" t="n"/>
      <c r="J287" s="52" t="n"/>
      <c r="K287" s="52" t="n"/>
      <c r="L287" s="52" t="n"/>
    </row>
    <row r="288" ht="12" customHeight="1">
      <c r="A288" s="50" t="n"/>
      <c r="B288" s="50" t="n"/>
      <c r="C288" s="52" t="n"/>
      <c r="D288" s="52" t="n"/>
      <c r="E288" s="52" t="n"/>
      <c r="F288" s="52" t="n"/>
      <c r="G288" s="52" t="n"/>
      <c r="H288" s="52" t="n"/>
      <c r="I288" s="52" t="n"/>
      <c r="J288" s="52" t="n"/>
      <c r="K288" s="52" t="n"/>
      <c r="L288" s="52" t="n"/>
    </row>
    <row r="289" ht="12" customHeight="1">
      <c r="A289" s="53" t="inlineStr">
        <is>
          <t>E — Eléctrico
AISLAR
Desconectador electrico principal</t>
        </is>
      </c>
      <c r="B289" s="19" t="n"/>
      <c r="C289" s="54" t="inlineStr">
        <is>
          <t>ELECTRICO - Abra el desconectador electrico principal a la posicion OFF (apagado). [VERIFY ON SITE: identificacion y ubicacion del desconectador]</t>
        </is>
      </c>
      <c r="D289" s="55" t="n"/>
      <c r="E289" s="55" t="n"/>
      <c r="F289" s="55" t="n"/>
      <c r="G289" s="55" t="n"/>
      <c r="H289" s="54" t="n"/>
      <c r="I289" s="55" t="n"/>
      <c r="J289" s="55" t="n"/>
      <c r="K289" s="55" t="n"/>
      <c r="L289" s="55" t="n"/>
    </row>
    <row r="290" ht="12" customHeight="1">
      <c r="A290" s="19" t="n"/>
      <c r="B290" s="19" t="n"/>
      <c r="C290" s="55" t="n"/>
      <c r="D290" s="55" t="n"/>
      <c r="E290" s="55" t="n"/>
      <c r="F290" s="55" t="n"/>
      <c r="G290" s="55" t="n"/>
      <c r="H290" s="55" t="n"/>
      <c r="I290" s="55" t="n"/>
      <c r="J290" s="55" t="n"/>
      <c r="K290" s="55" t="n"/>
      <c r="L290" s="55" t="n"/>
    </row>
    <row r="291" ht="12" customHeight="1">
      <c r="A291" s="19" t="n"/>
      <c r="B291" s="19" t="n"/>
      <c r="C291" s="55" t="n"/>
      <c r="D291" s="55" t="n"/>
      <c r="E291" s="55" t="n"/>
      <c r="F291" s="55" t="n"/>
      <c r="G291" s="55" t="n"/>
      <c r="H291" s="55" t="n"/>
      <c r="I291" s="55" t="n"/>
      <c r="J291" s="55" t="n"/>
      <c r="K291" s="55" t="n"/>
      <c r="L291" s="55" t="n"/>
    </row>
    <row r="292" ht="12" customHeight="1">
      <c r="A292" s="56" t="inlineStr">
        <is>
          <t>H — Hidráulico
AISLAR
Valvula de aislamiento hidraulico</t>
        </is>
      </c>
      <c r="B292" s="23" t="n"/>
      <c r="C292" s="51" t="inlineStr">
        <is>
          <t>HIDRAULICO - Cierre la valvula de suministro/aislamiento hidraulico y confirme que la bomba este sin energia. [VERIFY ON SITE: ubicacion de la valvula]</t>
        </is>
      </c>
      <c r="D292" s="52" t="n"/>
      <c r="E292" s="52" t="n"/>
      <c r="F292" s="52" t="n"/>
      <c r="G292" s="52" t="n"/>
      <c r="H292" s="51" t="n"/>
      <c r="I292" s="52" t="n"/>
      <c r="J292" s="52" t="n"/>
      <c r="K292" s="52" t="n"/>
      <c r="L292" s="52" t="n"/>
    </row>
    <row r="293" ht="12" customHeight="1">
      <c r="A293" s="23" t="n"/>
      <c r="B293" s="23" t="n"/>
      <c r="C293" s="52" t="n"/>
      <c r="D293" s="52" t="n"/>
      <c r="E293" s="52" t="n"/>
      <c r="F293" s="52" t="n"/>
      <c r="G293" s="52" t="n"/>
      <c r="H293" s="52" t="n"/>
      <c r="I293" s="52" t="n"/>
      <c r="J293" s="52" t="n"/>
      <c r="K293" s="52" t="n"/>
      <c r="L293" s="52" t="n"/>
    </row>
    <row r="294" ht="12" customHeight="1">
      <c r="A294" s="23" t="n"/>
      <c r="B294" s="23" t="n"/>
      <c r="C294" s="52" t="n"/>
      <c r="D294" s="52" t="n"/>
      <c r="E294" s="52" t="n"/>
      <c r="F294" s="52" t="n"/>
      <c r="G294" s="52" t="n"/>
      <c r="H294" s="52" t="n"/>
      <c r="I294" s="52" t="n"/>
      <c r="J294" s="52" t="n"/>
      <c r="K294" s="52" t="n"/>
      <c r="L294" s="52" t="n"/>
    </row>
    <row r="295" ht="12" customHeight="1">
      <c r="A295" s="57" t="inlineStr">
        <is>
          <t>P — Neumático
AISLAR
Valvula de aislamiento de aire</t>
        </is>
      </c>
      <c r="B295" s="25" t="n"/>
      <c r="C295" s="54" t="inlineStr">
        <is>
          <t>NEUMATICO - Cierre la valvula de aislamiento del suministro de aire (con candado). [VERIFY ON SITE: ubicacion de la valvula]</t>
        </is>
      </c>
      <c r="D295" s="55" t="n"/>
      <c r="E295" s="55" t="n"/>
      <c r="F295" s="55" t="n"/>
      <c r="G295" s="55" t="n"/>
      <c r="H295" s="54" t="n"/>
      <c r="I295" s="55" t="n"/>
      <c r="J295" s="55" t="n"/>
      <c r="K295" s="55" t="n"/>
      <c r="L295" s="55" t="n"/>
    </row>
    <row r="296" ht="12" customHeight="1">
      <c r="A296" s="25" t="n"/>
      <c r="B296" s="25" t="n"/>
      <c r="C296" s="55" t="n"/>
      <c r="D296" s="55" t="n"/>
      <c r="E296" s="55" t="n"/>
      <c r="F296" s="55" t="n"/>
      <c r="G296" s="55" t="n"/>
      <c r="H296" s="55" t="n"/>
      <c r="I296" s="55" t="n"/>
      <c r="J296" s="55" t="n"/>
      <c r="K296" s="55" t="n"/>
      <c r="L296" s="55" t="n"/>
    </row>
    <row r="297" ht="12" customHeight="1">
      <c r="A297" s="25" t="n"/>
      <c r="B297" s="25" t="n"/>
      <c r="C297" s="55" t="n"/>
      <c r="D297" s="55" t="n"/>
      <c r="E297" s="55" t="n"/>
      <c r="F297" s="55" t="n"/>
      <c r="G297" s="55" t="n"/>
      <c r="H297" s="55" t="n"/>
      <c r="I297" s="55" t="n"/>
      <c r="J297" s="55" t="n"/>
      <c r="K297" s="55" t="n"/>
      <c r="L297" s="55" t="n"/>
    </row>
    <row r="298" ht="12" customHeight="1">
      <c r="A298" s="58" t="inlineStr">
        <is>
          <t>M — Mecánico
AISLAR
Freno / piezas giratorias</t>
        </is>
      </c>
      <c r="B298" s="27" t="n"/>
      <c r="C298" s="51" t="inlineStr">
        <is>
          <t>MECANICO - Confirme que todos los accionamientos esten apagados y active el freno / seguro contra rotacion si existe. [VERIFY ON SITE: ubicacion del freno/seguro]</t>
        </is>
      </c>
      <c r="D298" s="52" t="n"/>
      <c r="E298" s="52" t="n"/>
      <c r="F298" s="52" t="n"/>
      <c r="G298" s="52" t="n"/>
      <c r="H298" s="51" t="n"/>
      <c r="I298" s="52" t="n"/>
      <c r="J298" s="52" t="n"/>
      <c r="K298" s="52" t="n"/>
      <c r="L298" s="52" t="n"/>
    </row>
    <row r="299" ht="12" customHeight="1">
      <c r="A299" s="27" t="n"/>
      <c r="B299" s="27" t="n"/>
      <c r="C299" s="52" t="n"/>
      <c r="D299" s="52" t="n"/>
      <c r="E299" s="52" t="n"/>
      <c r="F299" s="52" t="n"/>
      <c r="G299" s="52" t="n"/>
      <c r="H299" s="52" t="n"/>
      <c r="I299" s="52" t="n"/>
      <c r="J299" s="52" t="n"/>
      <c r="K299" s="52" t="n"/>
      <c r="L299" s="52" t="n"/>
    </row>
    <row r="300" ht="12" customHeight="1">
      <c r="A300" s="27" t="n"/>
      <c r="B300" s="27" t="n"/>
      <c r="C300" s="52" t="n"/>
      <c r="D300" s="52" t="n"/>
      <c r="E300" s="52" t="n"/>
      <c r="F300" s="52" t="n"/>
      <c r="G300" s="52" t="n"/>
      <c r="H300" s="52" t="n"/>
      <c r="I300" s="52" t="n"/>
      <c r="J300" s="52" t="n"/>
      <c r="K300" s="52" t="n"/>
      <c r="L300" s="52" t="n"/>
    </row>
    <row r="301" ht="12" customHeight="1">
      <c r="A301" s="53" t="inlineStr">
        <is>
          <t>E — Eléctrico
LIBERAR ENERGIA ALMACENADA
Desconectador electrico principal</t>
        </is>
      </c>
      <c r="B301" s="19" t="n"/>
      <c r="C301" s="54" t="inlineStr">
        <is>
          <t>ELECTRICO - Permita que los capacitores del bus de CD del VFD/servo se descarguen antes del contacto (minimo 5 minutos o segun placa). [VERIFY ON SITE: tiempo de descarga del variador]</t>
        </is>
      </c>
      <c r="D301" s="55" t="n"/>
      <c r="E301" s="55" t="n"/>
      <c r="F301" s="55" t="n"/>
      <c r="G301" s="55" t="n"/>
      <c r="H301" s="54" t="n"/>
      <c r="I301" s="55" t="n"/>
      <c r="J301" s="55" t="n"/>
      <c r="K301" s="55" t="n"/>
      <c r="L301" s="55" t="n"/>
    </row>
    <row r="302" ht="12" customHeight="1">
      <c r="A302" s="19" t="n"/>
      <c r="B302" s="19" t="n"/>
      <c r="C302" s="55" t="n"/>
      <c r="D302" s="55" t="n"/>
      <c r="E302" s="55" t="n"/>
      <c r="F302" s="55" t="n"/>
      <c r="G302" s="55" t="n"/>
      <c r="H302" s="55" t="n"/>
      <c r="I302" s="55" t="n"/>
      <c r="J302" s="55" t="n"/>
      <c r="K302" s="55" t="n"/>
      <c r="L302" s="55" t="n"/>
    </row>
    <row r="303" ht="12" customHeight="1">
      <c r="A303" s="19" t="n"/>
      <c r="B303" s="19" t="n"/>
      <c r="C303" s="55" t="n"/>
      <c r="D303" s="55" t="n"/>
      <c r="E303" s="55" t="n"/>
      <c r="F303" s="55" t="n"/>
      <c r="G303" s="55" t="n"/>
      <c r="H303" s="55" t="n"/>
      <c r="I303" s="55" t="n"/>
      <c r="J303" s="55" t="n"/>
      <c r="K303" s="55" t="n"/>
      <c r="L303" s="55" t="n"/>
    </row>
    <row r="304" ht="12" customHeight="1">
      <c r="A304" s="56" t="inlineStr">
        <is>
          <t>H — Hidráulico
LIBERAR ENERGIA ALMACENADA
Valvula de aislamiento hidraulico</t>
        </is>
      </c>
      <c r="B304" s="23" t="n"/>
      <c r="C304" s="51" t="inlineStr">
        <is>
          <t>HIDRAULICO - Alivie la presion hidraulica a 0 Y bloquee cualquier elemento cargado por gravedad (ariete, tazon, carro) antes de trabajar. [VERIFY ON SITE: metodo de bloqueo]</t>
        </is>
      </c>
      <c r="D304" s="52" t="n"/>
      <c r="E304" s="52" t="n"/>
      <c r="F304" s="52" t="n"/>
      <c r="G304" s="52" t="n"/>
      <c r="H304" s="51" t="n"/>
      <c r="I304" s="52" t="n"/>
      <c r="J304" s="52" t="n"/>
      <c r="K304" s="52" t="n"/>
      <c r="L304" s="52" t="n"/>
    </row>
    <row r="305" ht="12" customHeight="1">
      <c r="A305" s="23" t="n"/>
      <c r="B305" s="23" t="n"/>
      <c r="C305" s="52" t="n"/>
      <c r="D305" s="52" t="n"/>
      <c r="E305" s="52" t="n"/>
      <c r="F305" s="52" t="n"/>
      <c r="G305" s="52" t="n"/>
      <c r="H305" s="52" t="n"/>
      <c r="I305" s="52" t="n"/>
      <c r="J305" s="52" t="n"/>
      <c r="K305" s="52" t="n"/>
      <c r="L305" s="52" t="n"/>
    </row>
    <row r="306" ht="12" customHeight="1">
      <c r="A306" s="23" t="n"/>
      <c r="B306" s="23" t="n"/>
      <c r="C306" s="52" t="n"/>
      <c r="D306" s="52" t="n"/>
      <c r="E306" s="52" t="n"/>
      <c r="F306" s="52" t="n"/>
      <c r="G306" s="52" t="n"/>
      <c r="H306" s="52" t="n"/>
      <c r="I306" s="52" t="n"/>
      <c r="J306" s="52" t="n"/>
      <c r="K306" s="52" t="n"/>
      <c r="L306" s="52" t="n"/>
    </row>
    <row r="307" ht="12" customHeight="1">
      <c r="A307" s="57" t="inlineStr">
        <is>
          <t>P — Neumático
LIBERAR ENERGIA ALMACENADA
Valvula de aislamiento de aire</t>
        </is>
      </c>
      <c r="B307" s="25" t="n"/>
      <c r="C307" s="54" t="inlineStr">
        <is>
          <t>NEUMATICO - Purgue el aire atrapado aguas abajo de la valvula a 0 psi; considere actuadores de retorno por resorte y de vacio.</t>
        </is>
      </c>
      <c r="D307" s="55" t="n"/>
      <c r="E307" s="55" t="n"/>
      <c r="F307" s="55" t="n"/>
      <c r="G307" s="55" t="n"/>
      <c r="H307" s="54" t="n"/>
      <c r="I307" s="55" t="n"/>
      <c r="J307" s="55" t="n"/>
      <c r="K307" s="55" t="n"/>
      <c r="L307" s="55" t="n"/>
    </row>
    <row r="308" ht="12" customHeight="1">
      <c r="A308" s="25" t="n"/>
      <c r="B308" s="25" t="n"/>
      <c r="C308" s="55" t="n"/>
      <c r="D308" s="55" t="n"/>
      <c r="E308" s="55" t="n"/>
      <c r="F308" s="55" t="n"/>
      <c r="G308" s="55" t="n"/>
      <c r="H308" s="55" t="n"/>
      <c r="I308" s="55" t="n"/>
      <c r="J308" s="55" t="n"/>
      <c r="K308" s="55" t="n"/>
      <c r="L308" s="55" t="n"/>
    </row>
    <row r="309" ht="12" customHeight="1">
      <c r="A309" s="25" t="n"/>
      <c r="B309" s="25" t="n"/>
      <c r="C309" s="55" t="n"/>
      <c r="D309" s="55" t="n"/>
      <c r="E309" s="55" t="n"/>
      <c r="F309" s="55" t="n"/>
      <c r="G309" s="55" t="n"/>
      <c r="H309" s="55" t="n"/>
      <c r="I309" s="55" t="n"/>
      <c r="J309" s="55" t="n"/>
      <c r="K309" s="55" t="n"/>
      <c r="L309" s="55" t="n"/>
    </row>
    <row r="310" ht="12" customHeight="1">
      <c r="A310" s="58" t="inlineStr">
        <is>
          <t>M — Mecánico
LIBERAR ENERGIA ALMACENADA
Freno / piezas giratorias</t>
        </is>
      </c>
      <c r="B310" s="27" t="n"/>
      <c r="C310" s="51" t="inlineStr">
        <is>
          <t>MECANICO - Permita que todas las piezas giratorias o en inercia (motores, ventiladores, volantes, cuchillas, rodillos) se detengan por completo.</t>
        </is>
      </c>
      <c r="D310" s="52" t="n"/>
      <c r="E310" s="52" t="n"/>
      <c r="F310" s="52" t="n"/>
      <c r="G310" s="52" t="n"/>
      <c r="H310" s="51" t="n"/>
      <c r="I310" s="52" t="n"/>
      <c r="J310" s="52" t="n"/>
      <c r="K310" s="52" t="n"/>
      <c r="L310" s="52" t="n"/>
    </row>
    <row r="311" ht="12" customHeight="1">
      <c r="A311" s="27" t="n"/>
      <c r="B311" s="27" t="n"/>
      <c r="C311" s="52" t="n"/>
      <c r="D311" s="52" t="n"/>
      <c r="E311" s="52" t="n"/>
      <c r="F311" s="52" t="n"/>
      <c r="G311" s="52" t="n"/>
      <c r="H311" s="52" t="n"/>
      <c r="I311" s="52" t="n"/>
      <c r="J311" s="52" t="n"/>
      <c r="K311" s="52" t="n"/>
      <c r="L311" s="52" t="n"/>
    </row>
    <row r="312" ht="12" customHeight="1">
      <c r="A312" s="27" t="n"/>
      <c r="B312" s="27" t="n"/>
      <c r="C312" s="52" t="n"/>
      <c r="D312" s="52" t="n"/>
      <c r="E312" s="52" t="n"/>
      <c r="F312" s="52" t="n"/>
      <c r="G312" s="52" t="n"/>
      <c r="H312" s="52" t="n"/>
      <c r="I312" s="52" t="n"/>
      <c r="J312" s="52" t="n"/>
      <c r="K312" s="52" t="n"/>
      <c r="L312" s="52" t="n"/>
    </row>
    <row r="313" ht="12" customHeight="1">
      <c r="A313" s="49" t="inlineStr">
        <is>
          <t>N — Ninguno
BLOQUEO
Todos los dispositivos de aislamiento anteriores</t>
        </is>
      </c>
      <c r="B313" s="50" t="n"/>
      <c r="C313" s="54" t="inlineStr">
        <is>
          <t>Coloque un candado asignado Y una etiqueta duradera en CADA dispositivo de aislamiento anterior. Cada trabajador autorizado coloca su propio candado (bloqueo grupal cuando se requiera).</t>
        </is>
      </c>
      <c r="D313" s="55" t="n"/>
      <c r="E313" s="55" t="n"/>
      <c r="F313" s="55" t="n"/>
      <c r="G313" s="55" t="n"/>
      <c r="H313" s="54" t="n"/>
      <c r="I313" s="55" t="n"/>
      <c r="J313" s="55" t="n"/>
      <c r="K313" s="55" t="n"/>
      <c r="L313" s="55" t="n"/>
    </row>
    <row r="314" ht="12" customHeight="1">
      <c r="A314" s="50" t="n"/>
      <c r="B314" s="50" t="n"/>
      <c r="C314" s="55" t="n"/>
      <c r="D314" s="55" t="n"/>
      <c r="E314" s="55" t="n"/>
      <c r="F314" s="55" t="n"/>
      <c r="G314" s="55" t="n"/>
      <c r="H314" s="55" t="n"/>
      <c r="I314" s="55" t="n"/>
      <c r="J314" s="55" t="n"/>
      <c r="K314" s="55" t="n"/>
      <c r="L314" s="55" t="n"/>
    </row>
    <row r="315" ht="12" customHeight="1">
      <c r="A315" s="50" t="n"/>
      <c r="B315" s="50" t="n"/>
      <c r="C315" s="55" t="n"/>
      <c r="D315" s="55" t="n"/>
      <c r="E315" s="55" t="n"/>
      <c r="F315" s="55" t="n"/>
      <c r="G315" s="55" t="n"/>
      <c r="H315" s="55" t="n"/>
      <c r="I315" s="55" t="n"/>
      <c r="J315" s="55" t="n"/>
      <c r="K315" s="55" t="n"/>
      <c r="L315" s="55" t="n"/>
    </row>
    <row r="316" ht="12" customHeight="1">
      <c r="A316" s="50" t="n"/>
      <c r="B316" s="50" t="n"/>
      <c r="C316" s="55" t="n"/>
      <c r="D316" s="55" t="n"/>
      <c r="E316" s="55" t="n"/>
      <c r="F316" s="55" t="n"/>
      <c r="G316" s="55" t="n"/>
      <c r="H316" s="55" t="n"/>
      <c r="I316" s="55" t="n"/>
      <c r="J316" s="55" t="n"/>
      <c r="K316" s="55" t="n"/>
      <c r="L316" s="55" t="n"/>
    </row>
    <row r="317" ht="12" customHeight="1">
      <c r="A317" s="53" t="inlineStr">
        <is>
          <t>E — Eléctrico
VERIFICAR ENERGIA CERO
Desconectador electrico principal</t>
        </is>
      </c>
      <c r="B317" s="19" t="n"/>
      <c r="C317" s="51" t="inlineStr">
        <is>
          <t>ELECTRICO - Con un multimetro calibrado, verifique 0 V en el lado de carga del desconectador, fase a fase y fase a tierra (pruebe el multimetro en una fuente viva conocida antes y despues).</t>
        </is>
      </c>
      <c r="D317" s="52" t="n"/>
      <c r="E317" s="52" t="n"/>
      <c r="F317" s="52" t="n"/>
      <c r="G317" s="52" t="n"/>
      <c r="H317" s="51" t="inlineStr">
        <is>
          <t>ELECTRICO - Con un multimetro calibrado, verifique 0 V en el lado de carga del desconectador, fase a fase y fase a tierra (pruebe el multimetro en una fuente viva conocida antes y despues).</t>
        </is>
      </c>
      <c r="I317" s="52" t="n"/>
      <c r="J317" s="52" t="n"/>
      <c r="K317" s="52" t="n"/>
      <c r="L317" s="52" t="n"/>
    </row>
    <row r="318" ht="12" customHeight="1">
      <c r="A318" s="19" t="n"/>
      <c r="B318" s="19" t="n"/>
      <c r="C318" s="52" t="n"/>
      <c r="D318" s="52" t="n"/>
      <c r="E318" s="52" t="n"/>
      <c r="F318" s="52" t="n"/>
      <c r="G318" s="52" t="n"/>
      <c r="H318" s="52" t="n"/>
      <c r="I318" s="52" t="n"/>
      <c r="J318" s="52" t="n"/>
      <c r="K318" s="52" t="n"/>
      <c r="L318" s="52" t="n"/>
    </row>
    <row r="319" ht="12" customHeight="1">
      <c r="A319" s="19" t="n"/>
      <c r="B319" s="19" t="n"/>
      <c r="C319" s="52" t="n"/>
      <c r="D319" s="52" t="n"/>
      <c r="E319" s="52" t="n"/>
      <c r="F319" s="52" t="n"/>
      <c r="G319" s="52" t="n"/>
      <c r="H319" s="52" t="n"/>
      <c r="I319" s="52" t="n"/>
      <c r="J319" s="52" t="n"/>
      <c r="K319" s="52" t="n"/>
      <c r="L319" s="52" t="n"/>
    </row>
    <row r="320" ht="12" customHeight="1">
      <c r="A320" s="56" t="inlineStr">
        <is>
          <t>H — Hidráulico
VERIFICAR ENERGIA CERO
Valvula de aislamiento hidraulico</t>
        </is>
      </c>
      <c r="B320" s="23" t="n"/>
      <c r="C320" s="54" t="inlineStr">
        <is>
          <t>HIDRAULICO - Confirme que el manometro hidraulico marque 0 y que el elemento por gravedad este bloqueado fisicamente.</t>
        </is>
      </c>
      <c r="D320" s="55" t="n"/>
      <c r="E320" s="55" t="n"/>
      <c r="F320" s="55" t="n"/>
      <c r="G320" s="55" t="n"/>
      <c r="H320" s="54" t="inlineStr">
        <is>
          <t>HIDRAULICO - Confirme que el manometro hidraulico marque 0 y que el elemento por gravedad este bloqueado fisicamente.</t>
        </is>
      </c>
      <c r="I320" s="55" t="n"/>
      <c r="J320" s="55" t="n"/>
      <c r="K320" s="55" t="n"/>
      <c r="L320" s="55" t="n"/>
    </row>
    <row r="321" ht="12" customHeight="1">
      <c r="A321" s="23" t="n"/>
      <c r="B321" s="23" t="n"/>
      <c r="C321" s="55" t="n"/>
      <c r="D321" s="55" t="n"/>
      <c r="E321" s="55" t="n"/>
      <c r="F321" s="55" t="n"/>
      <c r="G321" s="55" t="n"/>
      <c r="H321" s="55" t="n"/>
      <c r="I321" s="55" t="n"/>
      <c r="J321" s="55" t="n"/>
      <c r="K321" s="55" t="n"/>
      <c r="L321" s="55" t="n"/>
    </row>
    <row r="322" ht="12" customHeight="1">
      <c r="A322" s="23" t="n"/>
      <c r="B322" s="23" t="n"/>
      <c r="C322" s="55" t="n"/>
      <c r="D322" s="55" t="n"/>
      <c r="E322" s="55" t="n"/>
      <c r="F322" s="55" t="n"/>
      <c r="G322" s="55" t="n"/>
      <c r="H322" s="55" t="n"/>
      <c r="I322" s="55" t="n"/>
      <c r="J322" s="55" t="n"/>
      <c r="K322" s="55" t="n"/>
      <c r="L322" s="55" t="n"/>
    </row>
    <row r="323" ht="12" customHeight="1">
      <c r="A323" s="57" t="inlineStr">
        <is>
          <t>P — Neumático
VERIFICAR ENERGIA CERO
Valvula de aislamiento de aire</t>
        </is>
      </c>
      <c r="B323" s="25" t="n"/>
      <c r="C323" s="51" t="inlineStr">
        <is>
          <t>NEUMATICO - Confirme que el manometro de aire aguas abajo marque 0 psi.</t>
        </is>
      </c>
      <c r="D323" s="52" t="n"/>
      <c r="E323" s="52" t="n"/>
      <c r="F323" s="52" t="n"/>
      <c r="G323" s="52" t="n"/>
      <c r="H323" s="51" t="inlineStr">
        <is>
          <t>NEUMATICO - Confirme que el manometro de aire aguas abajo marque 0 psi.</t>
        </is>
      </c>
      <c r="I323" s="52" t="n"/>
      <c r="J323" s="52" t="n"/>
      <c r="K323" s="52" t="n"/>
      <c r="L323" s="52" t="n"/>
    </row>
    <row r="324" ht="12" customHeight="1">
      <c r="A324" s="25" t="n"/>
      <c r="B324" s="25" t="n"/>
      <c r="C324" s="52" t="n"/>
      <c r="D324" s="52" t="n"/>
      <c r="E324" s="52" t="n"/>
      <c r="F324" s="52" t="n"/>
      <c r="G324" s="52" t="n"/>
      <c r="H324" s="52" t="n"/>
      <c r="I324" s="52" t="n"/>
      <c r="J324" s="52" t="n"/>
      <c r="K324" s="52" t="n"/>
      <c r="L324" s="52" t="n"/>
    </row>
    <row r="325" ht="12" customHeight="1">
      <c r="A325" s="25" t="n"/>
      <c r="B325" s="25" t="n"/>
      <c r="C325" s="52" t="n"/>
      <c r="D325" s="52" t="n"/>
      <c r="E325" s="52" t="n"/>
      <c r="F325" s="52" t="n"/>
      <c r="G325" s="52" t="n"/>
      <c r="H325" s="52" t="n"/>
      <c r="I325" s="52" t="n"/>
      <c r="J325" s="52" t="n"/>
      <c r="K325" s="52" t="n"/>
      <c r="L325" s="52" t="n"/>
    </row>
    <row r="326" ht="12" customHeight="1">
      <c r="A326" s="49" t="inlineStr">
        <is>
          <t>N — Ninguno
VERIFICAR ENERGIA CERO
Prueba de arranque en los controles</t>
        </is>
      </c>
      <c r="B326" s="50" t="n"/>
      <c r="C326" s="54" t="inlineStr">
        <is>
          <t>Intente arrancar la maquina desde sus controles normales para confirmar que no responde; luego regrese todos los controles a OFF / neutral.</t>
        </is>
      </c>
      <c r="D326" s="55" t="n"/>
      <c r="E326" s="55" t="n"/>
      <c r="F326" s="55" t="n"/>
      <c r="G326" s="55" t="n"/>
      <c r="H326" s="54" t="inlineStr">
        <is>
          <t>Intente arrancar la maquina desde sus controles normales para confirmar que no responde; luego regrese todos los controles a OFF / neutral.</t>
        </is>
      </c>
      <c r="I326" s="55" t="n"/>
      <c r="J326" s="55" t="n"/>
      <c r="K326" s="55" t="n"/>
      <c r="L326" s="55" t="n"/>
    </row>
    <row r="327" ht="12" customHeight="1">
      <c r="A327" s="50" t="n"/>
      <c r="B327" s="50" t="n"/>
      <c r="C327" s="55" t="n"/>
      <c r="D327" s="55" t="n"/>
      <c r="E327" s="55" t="n"/>
      <c r="F327" s="55" t="n"/>
      <c r="G327" s="55" t="n"/>
      <c r="H327" s="55" t="n"/>
      <c r="I327" s="55" t="n"/>
      <c r="J327" s="55" t="n"/>
      <c r="K327" s="55" t="n"/>
      <c r="L327" s="55" t="n"/>
    </row>
    <row r="328" ht="12" customHeight="1">
      <c r="A328" s="50" t="n"/>
      <c r="B328" s="50" t="n"/>
      <c r="C328" s="55" t="n"/>
      <c r="D328" s="55" t="n"/>
      <c r="E328" s="55" t="n"/>
      <c r="F328" s="55" t="n"/>
      <c r="G328" s="55" t="n"/>
      <c r="H328" s="55" t="n"/>
      <c r="I328" s="55" t="n"/>
      <c r="J328" s="55" t="n"/>
      <c r="K328" s="55" t="n"/>
      <c r="L328" s="55" t="n"/>
    </row>
    <row r="329" ht="13" customHeight="1">
      <c r="A329" s="17" t="inlineStr">
        <is>
          <t>PROCESO DE REMOCIÓN DE BLOQUEO</t>
        </is>
      </c>
      <c r="B329" s="13" t="n"/>
      <c r="C329" s="13" t="n"/>
      <c r="D329" s="13" t="n"/>
      <c r="E329" s="13" t="n"/>
      <c r="F329" s="13" t="n"/>
      <c r="G329" s="13" t="n"/>
      <c r="H329" s="13" t="n"/>
      <c r="I329" s="13" t="n"/>
      <c r="J329" s="13" t="n"/>
      <c r="K329" s="13" t="n"/>
      <c r="L329" s="13" t="n"/>
    </row>
    <row r="330" ht="12" customHeight="1">
      <c r="A330" s="59"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30" s="59" t="inlineStr">
        <is>
          <t>5. Retirar los dispositivos de bloqueo, candados y etiquetas
6. Volver a energizar el equipo
7. Notificar a los empleados AFECTADOS que el equipo está de vuelta en servicio</t>
        </is>
      </c>
    </row>
    <row r="331" ht="12" customHeight="1"/>
    <row r="332" ht="12" customHeight="1"/>
    <row r="333" ht="12" customHeight="1"/>
    <row r="334" ht="9" customHeight="1">
      <c r="A334" s="60" t="inlineStr">
        <is>
          <t>Traducción al inglés al reverso — imprimir a doble cara.</t>
        </is>
      </c>
    </row>
    <row r="335" ht="18" customHeight="1">
      <c r="A335" s="61" t="inlineStr">
        <is>
          <t>Firma</t>
        </is>
      </c>
      <c r="B335" s="62" t="n"/>
      <c r="C335" s="62" t="n"/>
      <c r="D335" s="61" t="inlineStr">
        <is>
          <t>Fecha</t>
        </is>
      </c>
      <c r="E335" s="62" t="n"/>
      <c r="F335" s="62" t="n"/>
      <c r="G335" s="61" t="inlineStr">
        <is>
          <t>Depto</t>
        </is>
      </c>
      <c r="H335" s="62" t="n"/>
      <c r="I335" s="62" t="n"/>
      <c r="J335" s="61" t="inlineStr">
        <is>
          <t>Ver PM Store en carpeta PT</t>
        </is>
      </c>
      <c r="K335" s="62" t="n"/>
      <c r="L335" s="62" t="n"/>
    </row>
    <row r="336"/>
  </sheetData>
  <mergeCells count="326">
    <mergeCell ref="A152:B154"/>
    <mergeCell ref="C136:G138"/>
    <mergeCell ref="A15:B15"/>
    <mergeCell ref="C15:D15"/>
    <mergeCell ref="A91:G97"/>
    <mergeCell ref="C184:D184"/>
    <mergeCell ref="H43:L45"/>
    <mergeCell ref="I255:L255"/>
    <mergeCell ref="G250:I250"/>
    <mergeCell ref="K99:L99"/>
    <mergeCell ref="A267:B267"/>
    <mergeCell ref="C201:G201"/>
    <mergeCell ref="A292:B294"/>
    <mergeCell ref="A33:B33"/>
    <mergeCell ref="A307:B309"/>
    <mergeCell ref="C70:G72"/>
    <mergeCell ref="I171:L171"/>
    <mergeCell ref="A323:B325"/>
    <mergeCell ref="A334:L334"/>
    <mergeCell ref="A229:B231"/>
    <mergeCell ref="C155:G157"/>
    <mergeCell ref="C220:G222"/>
    <mergeCell ref="A127:B129"/>
    <mergeCell ref="I183:J183"/>
    <mergeCell ref="A175:G181"/>
    <mergeCell ref="H46:L48"/>
    <mergeCell ref="H40:L42"/>
    <mergeCell ref="H211:L213"/>
    <mergeCell ref="C286:G288"/>
    <mergeCell ref="H145:L148"/>
    <mergeCell ref="A4:L4"/>
    <mergeCell ref="C152:G154"/>
    <mergeCell ref="A46:B48"/>
    <mergeCell ref="C52:G54"/>
    <mergeCell ref="C223:G225"/>
    <mergeCell ref="A329:L329"/>
    <mergeCell ref="A266:L266"/>
    <mergeCell ref="E16:F16"/>
    <mergeCell ref="G16:H16"/>
    <mergeCell ref="G82:I82"/>
    <mergeCell ref="H229:L231"/>
    <mergeCell ref="I267:J267"/>
    <mergeCell ref="K183:L183"/>
    <mergeCell ref="C33:G33"/>
    <mergeCell ref="A84:L84"/>
    <mergeCell ref="C307:G309"/>
    <mergeCell ref="A310:B312"/>
    <mergeCell ref="H295:L297"/>
    <mergeCell ref="A86:L86"/>
    <mergeCell ref="H34:L36"/>
    <mergeCell ref="A258:G258"/>
    <mergeCell ref="C100:D100"/>
    <mergeCell ref="H6:L6"/>
    <mergeCell ref="H64:L66"/>
    <mergeCell ref="C211:G213"/>
    <mergeCell ref="A118:B120"/>
    <mergeCell ref="D82:F82"/>
    <mergeCell ref="A326:B328"/>
    <mergeCell ref="H313:L316"/>
    <mergeCell ref="H61:L63"/>
    <mergeCell ref="K268:L268"/>
    <mergeCell ref="G270:L283"/>
    <mergeCell ref="H258:L258"/>
    <mergeCell ref="A102:F115"/>
    <mergeCell ref="H217:L219"/>
    <mergeCell ref="A121:B123"/>
    <mergeCell ref="K184:L184"/>
    <mergeCell ref="C158:G160"/>
    <mergeCell ref="C289:G291"/>
    <mergeCell ref="A101:L101"/>
    <mergeCell ref="A87:H87"/>
    <mergeCell ref="A76:L76"/>
    <mergeCell ref="H238:L240"/>
    <mergeCell ref="H232:L234"/>
    <mergeCell ref="A301:B303"/>
    <mergeCell ref="C313:G316"/>
    <mergeCell ref="A238:B240"/>
    <mergeCell ref="A284:F284"/>
    <mergeCell ref="H298:L300"/>
    <mergeCell ref="I3:L3"/>
    <mergeCell ref="A171:H171"/>
    <mergeCell ref="G245:L248"/>
    <mergeCell ref="C34:G36"/>
    <mergeCell ref="A142:B144"/>
    <mergeCell ref="C326:G328"/>
    <mergeCell ref="A89:L89"/>
    <mergeCell ref="A202:B204"/>
    <mergeCell ref="C310:G312"/>
    <mergeCell ref="A73:B75"/>
    <mergeCell ref="H201:L201"/>
    <mergeCell ref="H117:L117"/>
    <mergeCell ref="G267:H267"/>
    <mergeCell ref="A99:B99"/>
    <mergeCell ref="H226:L228"/>
    <mergeCell ref="H220:L222"/>
    <mergeCell ref="A124:B126"/>
    <mergeCell ref="A3:H3"/>
    <mergeCell ref="A139:B141"/>
    <mergeCell ref="G32:L32"/>
    <mergeCell ref="A173:L173"/>
    <mergeCell ref="A166:L166"/>
    <mergeCell ref="E183:F183"/>
    <mergeCell ref="G183:H183"/>
    <mergeCell ref="H317:L319"/>
    <mergeCell ref="H304:L306"/>
    <mergeCell ref="H235:L237"/>
    <mergeCell ref="I15:J15"/>
    <mergeCell ref="A304:B306"/>
    <mergeCell ref="K15:L15"/>
    <mergeCell ref="H323:L325"/>
    <mergeCell ref="C118:G120"/>
    <mergeCell ref="A5:L5"/>
    <mergeCell ref="G77:L80"/>
    <mergeCell ref="C205:G207"/>
    <mergeCell ref="A161:L161"/>
    <mergeCell ref="A208:B210"/>
    <mergeCell ref="C142:G144"/>
    <mergeCell ref="A184:B184"/>
    <mergeCell ref="A100:B100"/>
    <mergeCell ref="H292:L294"/>
    <mergeCell ref="A250:C250"/>
    <mergeCell ref="A130:B132"/>
    <mergeCell ref="G99:H99"/>
    <mergeCell ref="I99:J99"/>
    <mergeCell ref="H307:L309"/>
    <mergeCell ref="A67:B69"/>
    <mergeCell ref="C235:G237"/>
    <mergeCell ref="H91:L97"/>
    <mergeCell ref="G330:L333"/>
    <mergeCell ref="C49:G51"/>
    <mergeCell ref="H127:L129"/>
    <mergeCell ref="H320:L322"/>
    <mergeCell ref="C124:G126"/>
    <mergeCell ref="A158:B160"/>
    <mergeCell ref="H241:L243"/>
    <mergeCell ref="D335:F335"/>
    <mergeCell ref="A133:B135"/>
    <mergeCell ref="C139:G141"/>
    <mergeCell ref="C55:G57"/>
    <mergeCell ref="A167:C167"/>
    <mergeCell ref="H90:L90"/>
    <mergeCell ref="A174:G174"/>
    <mergeCell ref="A98:L98"/>
    <mergeCell ref="A169:L169"/>
    <mergeCell ref="G162:L165"/>
    <mergeCell ref="A335:C335"/>
    <mergeCell ref="C37:G39"/>
    <mergeCell ref="C208:G210"/>
    <mergeCell ref="A40:B42"/>
    <mergeCell ref="A211:B213"/>
    <mergeCell ref="A313:B316"/>
    <mergeCell ref="H133:L135"/>
    <mergeCell ref="H259:L265"/>
    <mergeCell ref="A16:B16"/>
    <mergeCell ref="C16:D16"/>
    <mergeCell ref="I100:J100"/>
    <mergeCell ref="K100:L100"/>
    <mergeCell ref="A17:L17"/>
    <mergeCell ref="A253:L253"/>
    <mergeCell ref="H310:L312"/>
    <mergeCell ref="C40:G42"/>
    <mergeCell ref="A214:B216"/>
    <mergeCell ref="A7:G13"/>
    <mergeCell ref="A295:B297"/>
    <mergeCell ref="H285:L285"/>
    <mergeCell ref="J335:L335"/>
    <mergeCell ref="H121:L123"/>
    <mergeCell ref="G167:I167"/>
    <mergeCell ref="G268:H268"/>
    <mergeCell ref="A77:F80"/>
    <mergeCell ref="G186:L199"/>
    <mergeCell ref="A185:L185"/>
    <mergeCell ref="G184:H184"/>
    <mergeCell ref="I184:J184"/>
    <mergeCell ref="G200:L200"/>
    <mergeCell ref="A200:F200"/>
    <mergeCell ref="H49:L51"/>
    <mergeCell ref="C46:G48"/>
    <mergeCell ref="C145:G148"/>
    <mergeCell ref="C61:G63"/>
    <mergeCell ref="H149:L151"/>
    <mergeCell ref="H136:L138"/>
    <mergeCell ref="A117:B117"/>
    <mergeCell ref="C217:G219"/>
    <mergeCell ref="A220:B222"/>
    <mergeCell ref="A256:L256"/>
    <mergeCell ref="C323:G325"/>
    <mergeCell ref="J250:L250"/>
    <mergeCell ref="C229:G231"/>
    <mergeCell ref="A232:B234"/>
    <mergeCell ref="G18:L31"/>
    <mergeCell ref="A18:F31"/>
    <mergeCell ref="I268:J268"/>
    <mergeCell ref="A245:F248"/>
    <mergeCell ref="H202:L204"/>
    <mergeCell ref="A268:B268"/>
    <mergeCell ref="H58:L60"/>
    <mergeCell ref="C295:G297"/>
    <mergeCell ref="A298:B300"/>
    <mergeCell ref="H73:L75"/>
    <mergeCell ref="C214:G216"/>
    <mergeCell ref="C232:G234"/>
    <mergeCell ref="A235:B237"/>
    <mergeCell ref="H124:L126"/>
    <mergeCell ref="A82:C82"/>
    <mergeCell ref="H139:L141"/>
    <mergeCell ref="G102:L115"/>
    <mergeCell ref="H155:L157"/>
    <mergeCell ref="J167:L167"/>
    <mergeCell ref="K16:L16"/>
    <mergeCell ref="A252:L252"/>
    <mergeCell ref="A155:B157"/>
    <mergeCell ref="H286:L288"/>
    <mergeCell ref="C64:G66"/>
    <mergeCell ref="A183:B183"/>
    <mergeCell ref="H152:L154"/>
    <mergeCell ref="C183:D183"/>
    <mergeCell ref="C117:G117"/>
    <mergeCell ref="A223:B225"/>
    <mergeCell ref="E15:F15"/>
    <mergeCell ref="A317:B319"/>
    <mergeCell ref="A6:G6"/>
    <mergeCell ref="G15:H15"/>
    <mergeCell ref="C301:G303"/>
    <mergeCell ref="A37:B39"/>
    <mergeCell ref="H70:L72"/>
    <mergeCell ref="C67:G69"/>
    <mergeCell ref="C238:G240"/>
    <mergeCell ref="J82:L82"/>
    <mergeCell ref="I87:L87"/>
    <mergeCell ref="H33:L33"/>
    <mergeCell ref="A88:L88"/>
    <mergeCell ref="C267:D267"/>
    <mergeCell ref="E267:F267"/>
    <mergeCell ref="A43:B45"/>
    <mergeCell ref="C298:G300"/>
    <mergeCell ref="A241:B243"/>
    <mergeCell ref="A85:L85"/>
    <mergeCell ref="C99:D99"/>
    <mergeCell ref="H52:L54"/>
    <mergeCell ref="H223:L225"/>
    <mergeCell ref="C226:G228"/>
    <mergeCell ref="A330:F333"/>
    <mergeCell ref="A90:G90"/>
    <mergeCell ref="H158:L160"/>
    <mergeCell ref="H289:L291"/>
    <mergeCell ref="A182:L182"/>
    <mergeCell ref="A1:L1"/>
    <mergeCell ref="A289:B291"/>
    <mergeCell ref="C317:G319"/>
    <mergeCell ref="A320:B322"/>
    <mergeCell ref="C304:G306"/>
    <mergeCell ref="A145:B148"/>
    <mergeCell ref="H175:L181"/>
    <mergeCell ref="I16:J16"/>
    <mergeCell ref="A259:G265"/>
    <mergeCell ref="A32:F32"/>
    <mergeCell ref="C127:G129"/>
    <mergeCell ref="A285:B285"/>
    <mergeCell ref="K267:L267"/>
    <mergeCell ref="E99:F99"/>
    <mergeCell ref="C241:G243"/>
    <mergeCell ref="H174:L174"/>
    <mergeCell ref="E100:F100"/>
    <mergeCell ref="G100:H100"/>
    <mergeCell ref="H326:L328"/>
    <mergeCell ref="A34:B36"/>
    <mergeCell ref="C292:G294"/>
    <mergeCell ref="A64:B66"/>
    <mergeCell ref="H67:L69"/>
    <mergeCell ref="C58:G60"/>
    <mergeCell ref="C73:G75"/>
    <mergeCell ref="A14:L14"/>
    <mergeCell ref="A61:B63"/>
    <mergeCell ref="A81:L81"/>
    <mergeCell ref="A170:L170"/>
    <mergeCell ref="A217:B219"/>
    <mergeCell ref="C320:G322"/>
    <mergeCell ref="C268:D268"/>
    <mergeCell ref="A270:F283"/>
    <mergeCell ref="A186:F199"/>
    <mergeCell ref="H7:L13"/>
    <mergeCell ref="H301:L303"/>
    <mergeCell ref="E184:F184"/>
    <mergeCell ref="H214:L216"/>
    <mergeCell ref="A58:B60"/>
    <mergeCell ref="A52:B54"/>
    <mergeCell ref="A172:L172"/>
    <mergeCell ref="C285:G285"/>
    <mergeCell ref="A2:L2"/>
    <mergeCell ref="H205:L207"/>
    <mergeCell ref="G284:L284"/>
    <mergeCell ref="A116:F116"/>
    <mergeCell ref="A254:L254"/>
    <mergeCell ref="H142:L144"/>
    <mergeCell ref="A149:B151"/>
    <mergeCell ref="A205:B207"/>
    <mergeCell ref="C133:G135"/>
    <mergeCell ref="A136:B138"/>
    <mergeCell ref="D250:F250"/>
    <mergeCell ref="A249:L249"/>
    <mergeCell ref="C130:G132"/>
    <mergeCell ref="A257:L257"/>
    <mergeCell ref="E268:F268"/>
    <mergeCell ref="G116:L116"/>
    <mergeCell ref="A201:B201"/>
    <mergeCell ref="A226:B228"/>
    <mergeCell ref="A49:B51"/>
    <mergeCell ref="A70:B72"/>
    <mergeCell ref="H118:L120"/>
    <mergeCell ref="G335:I335"/>
    <mergeCell ref="H130:L132"/>
    <mergeCell ref="C121:G123"/>
    <mergeCell ref="A269:L269"/>
    <mergeCell ref="H55:L57"/>
    <mergeCell ref="D167:F167"/>
    <mergeCell ref="A255:H255"/>
    <mergeCell ref="A244:L244"/>
    <mergeCell ref="A286:B288"/>
    <mergeCell ref="C202:G204"/>
    <mergeCell ref="A162:F165"/>
    <mergeCell ref="A55:B57"/>
    <mergeCell ref="C43:G45"/>
    <mergeCell ref="H37:L39"/>
    <mergeCell ref="H208:L210"/>
    <mergeCell ref="C149:G151"/>
  </mergeCells>
  <hyperlinks>
    <hyperlink xmlns:r="http://schemas.openxmlformats.org/officeDocument/2006/relationships" ref="A2" r:id="rId1"/>
    <hyperlink xmlns:r="http://schemas.openxmlformats.org/officeDocument/2006/relationships" ref="A85" r:id="rId2"/>
    <hyperlink xmlns:r="http://schemas.openxmlformats.org/officeDocument/2006/relationships" ref="A170" r:id="rId3"/>
    <hyperlink xmlns:r="http://schemas.openxmlformats.org/officeDocument/2006/relationships" ref="A253" r:id="rId4"/>
  </hyperlinks>
  <printOptions horizontalCentered="1"/>
  <pageMargins left="0.3" right="0.3" top="0.3" bottom="0.3" header="0.15" footer="0.15"/>
  <pageSetup orientation="landscape" paperSize="1" fitToHeight="0" fitToWidth="1"/>
  <rowBreaks count="4" manualBreakCount="4">
    <brk id="83" min="0" max="16383" man="1"/>
    <brk id="168" min="0" max="16383" man="1"/>
    <brk id="251" min="0" max="16383" man="1"/>
    <brk id="336" min="0" max="16383" man="1"/>
  </rowBreaks>
  <drawing xmlns:r="http://schemas.openxmlformats.org/officeDocument/2006/relationships" r:id="rId5"/>
</worksheet>
</file>

<file path=xl/worksheets/sheet4.xml><?xml version="1.0" encoding="utf-8"?>
<worksheet xmlns="http://schemas.openxmlformats.org/spreadsheetml/2006/main">
  <sheetPr>
    <outlinePr summaryBelow="1" summaryRight="1"/>
    <pageSetUpPr/>
  </sheetPr>
  <dimension ref="A1:AP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5" t="inlineStr">
        <is>
          <t>equipment_id</t>
        </is>
      </c>
      <c r="B1" s="65" t="inlineStr">
        <is>
          <t>description</t>
        </is>
      </c>
      <c r="C1" s="65" t="inlineStr">
        <is>
          <t>department</t>
        </is>
      </c>
      <c r="D1" s="65" t="inlineStr">
        <is>
          <t>equipment_family</t>
        </is>
      </c>
      <c r="E1" s="65" t="inlineStr">
        <is>
          <t>prefix</t>
        </is>
      </c>
      <c r="F1" s="65" t="inlineStr">
        <is>
          <t>manufacturer</t>
        </is>
      </c>
      <c r="G1" s="65" t="inlineStr">
        <is>
          <t>model</t>
        </is>
      </c>
      <c r="H1" s="65" t="inlineStr">
        <is>
          <t>photo_status</t>
        </is>
      </c>
      <c r="I1" s="65" t="inlineStr">
        <is>
          <t>has_equip_photo</t>
        </is>
      </c>
      <c r="J1" s="65" t="inlineStr">
        <is>
          <t>has_iso_photo</t>
        </is>
      </c>
      <c r="K1" s="65" t="inlineStr">
        <is>
          <t>needs_equip_photo</t>
        </is>
      </c>
      <c r="L1" s="65" t="inlineStr">
        <is>
          <t>needs_iso_photo</t>
        </is>
      </c>
      <c r="M1" s="65" t="inlineStr">
        <is>
          <t>needs_verification</t>
        </is>
      </c>
      <c r="N1" s="65" t="inlineStr">
        <is>
          <t>verified</t>
        </is>
      </c>
      <c r="O1" s="65" t="inlineStr">
        <is>
          <t>verified_date</t>
        </is>
      </c>
      <c r="P1" s="65" t="inlineStr">
        <is>
          <t>verified_by</t>
        </is>
      </c>
      <c r="Q1" s="65" t="inlineStr">
        <is>
          <t>notes</t>
        </is>
      </c>
      <c r="R1" s="65" t="inlineStr">
        <is>
          <t>notes_es</t>
        </is>
      </c>
      <c r="S1" s="65" t="inlineStr">
        <is>
          <t>internal_notes</t>
        </is>
      </c>
      <c r="T1" s="65" t="inlineStr">
        <is>
          <t>spanish_reviewed</t>
        </is>
      </c>
      <c r="U1" s="65" t="inlineStr">
        <is>
          <t>equip_photo_url</t>
        </is>
      </c>
      <c r="V1" s="65" t="inlineStr">
        <is>
          <t>iso_photo_url</t>
        </is>
      </c>
      <c r="W1" s="65" t="inlineStr">
        <is>
          <t>placard_url</t>
        </is>
      </c>
      <c r="X1" s="65" t="inlineStr">
        <is>
          <t>qr_token</t>
        </is>
      </c>
      <c r="Y1" s="65" t="inlineStr">
        <is>
          <t>readiness_status</t>
        </is>
      </c>
      <c r="Z1" s="65" t="inlineStr">
        <is>
          <t>last_pre_use_inspection_at</t>
        </is>
      </c>
      <c r="AA1" s="65" t="inlineStr">
        <is>
          <t>next_periodic_review_due_at</t>
        </is>
      </c>
      <c r="AB1" s="65" t="inlineStr">
        <is>
          <t>cad_drawing_tag</t>
        </is>
      </c>
      <c r="AC1" s="65" t="inlineStr">
        <is>
          <t>cad_sheet_ref</t>
        </is>
      </c>
      <c r="AD1" s="65" t="inlineStr">
        <is>
          <t>cad_grid_ref</t>
        </is>
      </c>
      <c r="AE1" s="65" t="inlineStr">
        <is>
          <t>facility_floor</t>
        </is>
      </c>
      <c r="AF1" s="65" t="inlineStr">
        <is>
          <t>flagged_for_review_at</t>
        </is>
      </c>
      <c r="AG1" s="65" t="inlineStr">
        <is>
          <t>flagged_for_review_by</t>
        </is>
      </c>
      <c r="AH1" s="65" t="inlineStr">
        <is>
          <t>flagged_for_review_via</t>
        </is>
      </c>
      <c r="AI1" s="65" t="inlineStr">
        <is>
          <t>flagged_for_review_note</t>
        </is>
      </c>
      <c r="AJ1" s="65" t="inlineStr">
        <is>
          <t>equip_photo_provenance</t>
        </is>
      </c>
      <c r="AK1" s="65" t="inlineStr">
        <is>
          <t>iso_photo_provenance</t>
        </is>
      </c>
      <c r="AL1" s="65" t="inlineStr">
        <is>
          <t>iso_photo_is_placeholder</t>
        </is>
      </c>
      <c r="AM1" s="65" t="inlineStr">
        <is>
          <t>last_audit_verdict</t>
        </is>
      </c>
      <c r="AN1" s="65" t="inlineStr">
        <is>
          <t>last_audit_at</t>
        </is>
      </c>
      <c r="AO1" s="65" t="inlineStr">
        <is>
          <t>created_at</t>
        </is>
      </c>
      <c r="AP1" s="65" t="inlineStr">
        <is>
          <t>updated_at</t>
        </is>
      </c>
    </row>
    <row r="2">
      <c r="A2" t="inlineStr">
        <is>
          <t>302-MX-1</t>
        </is>
      </c>
      <c r="B2" t="inlineStr">
        <is>
          <t>302-MX-1 (Shaffer Masa Mixer - Line 302 Tortilla)</t>
        </is>
      </c>
      <c r="C2" t="inlineStr">
        <is>
          <t>Mixers</t>
        </is>
      </c>
      <c r="D2" t="inlineStr">
        <is>
          <t>general</t>
        </is>
      </c>
      <c r="E2" t="inlineStr">
        <is>
          <t>302</t>
        </is>
      </c>
      <c r="F2" t="inlineStr">
        <is>
          <t>Shaffer (AMF Bakery Systems)</t>
        </is>
      </c>
      <c r="H2" t="inlineStr">
        <is>
          <t>complete</t>
        </is>
      </c>
      <c r="I2" t="b">
        <v>1</v>
      </c>
      <c r="J2" t="b">
        <v>1</v>
      </c>
      <c r="K2" t="b">
        <v>0</v>
      </c>
      <c r="L2" t="b">
        <v>0</v>
      </c>
      <c r="M2" t="b">
        <v>1</v>
      </c>
      <c r="N2" t="b">
        <v>0</v>
      </c>
      <c r="Q2" t="inlineStr">
        <is>
          <t>PHOTO_UPGRADE 2026-05-13: Moved from canonical 302-MX-1-EQ/IP to machine-specific dated captures from 2026-04-20 (iso_05 chosen for highest resolution among 8 variants).</t>
        </is>
      </c>
      <c r="S2" t="inlineStr">
        <is>
          <t xml:space="preserve">
[2026-05-20 WS4] manufacturer set from description keyword.</t>
        </is>
      </c>
      <c r="T2" t="b">
        <v>0</v>
      </c>
      <c r="U2" t="inlineStr">
        <is>
          <t>https://zwtnpyjifbdytlektxlc.supabase.co/storage/v1/object/public/loto-photos/302-MX-1/302-MX-1_equip_2026-04-20T17-29-17.jpg</t>
        </is>
      </c>
      <c r="V2" t="inlineStr">
        <is>
          <t>https://zwtnpyjifbdytlektxlc.supabase.co/storage/v1/object/public/loto-photos/302-MX-1/302-MX-1_iso_05_2026-04-20T17-29-21.jpg</t>
        </is>
      </c>
      <c r="X2" t="inlineStr">
        <is>
          <t>35e1e6b64f484ac2</t>
        </is>
      </c>
      <c r="Y2" t="inlineStr">
        <is>
          <t>available</t>
        </is>
      </c>
      <c r="AE2" t="inlineStr">
        <is>
          <t>main</t>
        </is>
      </c>
      <c r="AJ2" t="inlineStr">
        <is>
          <t>field</t>
        </is>
      </c>
      <c r="AK2" t="inlineStr">
        <is>
          <t>field</t>
        </is>
      </c>
      <c r="AL2" t="b">
        <v>0</v>
      </c>
      <c r="AO2" t="inlineStr">
        <is>
          <t>2026-04-13T19:35:12+00:00</t>
        </is>
      </c>
      <c r="AP2" t="inlineStr">
        <is>
          <t>2026-06-10T04:55:02.552571+00:00</t>
        </is>
      </c>
    </row>
    <row r="3">
      <c r="A3" t="inlineStr">
        <is>
          <t>321-MX-01</t>
        </is>
      </c>
      <c r="B3" t="inlineStr">
        <is>
          <t>321-MX-01 (Shaffer Masa Mixer - Line 321 Pop Chip)</t>
        </is>
      </c>
      <c r="C3" t="inlineStr">
        <is>
          <t>Mixers</t>
        </is>
      </c>
      <c r="D3" t="inlineStr">
        <is>
          <t>general</t>
        </is>
      </c>
      <c r="E3" t="inlineStr">
        <is>
          <t>321</t>
        </is>
      </c>
      <c r="F3" t="inlineStr">
        <is>
          <t>Shaffer (AMF Bakery Systems)</t>
        </is>
      </c>
      <c r="H3" t="inlineStr">
        <is>
          <t>complete</t>
        </is>
      </c>
      <c r="I3" t="b">
        <v>1</v>
      </c>
      <c r="J3" t="b">
        <v>1</v>
      </c>
      <c r="K3" t="b">
        <v>0</v>
      </c>
      <c r="L3" t="b">
        <v>0</v>
      </c>
      <c r="M3" t="b">
        <v>1</v>
      </c>
      <c r="N3" t="b">
        <v>0</v>
      </c>
      <c r="Q3" t="inlineStr">
        <is>
          <t>PHOTO_FIX 2026-05-13: EQ repointed from 302-MX-1-EQ (Line 302 borrow) to machine-specific 321-MX-01_equip_2026-04-20. IP using canonical Shaffer Masa Mixer disconnect (same model as 302).</t>
        </is>
      </c>
      <c r="S3" t="inlineStr">
        <is>
          <t xml:space="preserve">
[2026-05-20 WS4] manufacturer set from description keyword.</t>
        </is>
      </c>
      <c r="T3" t="b">
        <v>0</v>
      </c>
      <c r="U3" t="inlineStr">
        <is>
          <t>https://zwtnpyjifbdytlektxlc.supabase.co/storage/v1/object/public/loto-photos/321-MX-01/321-MX-01_equip_2026-04-20T17-29-26.jpg</t>
        </is>
      </c>
      <c r="V3" t="inlineStr">
        <is>
          <t>https://zwtnpyjifbdytlektxlc.supabase.co/storage/v1/object/public/loto-photos/302-MX-1-IP.jpg</t>
        </is>
      </c>
      <c r="X3" t="inlineStr">
        <is>
          <t>a0f50526f2b24b0a</t>
        </is>
      </c>
      <c r="Y3" t="inlineStr">
        <is>
          <t>available</t>
        </is>
      </c>
      <c r="AE3" t="inlineStr">
        <is>
          <t>main</t>
        </is>
      </c>
      <c r="AJ3" t="inlineStr">
        <is>
          <t>field</t>
        </is>
      </c>
      <c r="AK3" t="inlineStr">
        <is>
          <t>field</t>
        </is>
      </c>
      <c r="AL3" t="b">
        <v>0</v>
      </c>
      <c r="AO3" t="inlineStr">
        <is>
          <t>2026-04-13T19:35:12+00:00</t>
        </is>
      </c>
      <c r="AP3" t="inlineStr">
        <is>
          <t>2026-06-10T04:55:02.552571+00:00</t>
        </is>
      </c>
    </row>
  </sheetData>
  <autoFilter ref="A1:AP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5" t="inlineStr">
        <is>
          <t>equipment_id</t>
        </is>
      </c>
      <c r="B1" s="65" t="inlineStr">
        <is>
          <t>step_number</t>
        </is>
      </c>
      <c r="C1" s="65" t="inlineStr">
        <is>
          <t>sequence_order</t>
        </is>
      </c>
      <c r="D1" s="65" t="inlineStr">
        <is>
          <t>step_type</t>
        </is>
      </c>
      <c r="E1" s="65" t="inlineStr">
        <is>
          <t>energy_type</t>
        </is>
      </c>
      <c r="F1" s="65" t="inlineStr">
        <is>
          <t>tryout_required</t>
        </is>
      </c>
      <c r="G1" s="65" t="inlineStr">
        <is>
          <t>tag_description</t>
        </is>
      </c>
      <c r="H1" s="65" t="inlineStr">
        <is>
          <t>isolation_procedure</t>
        </is>
      </c>
      <c r="I1" s="65" t="inlineStr">
        <is>
          <t>method_of_verification</t>
        </is>
      </c>
      <c r="J1" s="65" t="inlineStr">
        <is>
          <t>tag_description_es</t>
        </is>
      </c>
      <c r="K1" s="65" t="inlineStr">
        <is>
          <t>isolation_procedure_es</t>
        </is>
      </c>
      <c r="L1" s="65" t="inlineStr">
        <is>
          <t>method_of_verification_es</t>
        </is>
      </c>
      <c r="M1" s="65" t="inlineStr">
        <is>
          <t>confidence</t>
        </is>
      </c>
    </row>
    <row r="2">
      <c r="A2" t="inlineStr">
        <is>
          <t>302-MX-1</t>
        </is>
      </c>
      <c r="B2" t="n">
        <v>1</v>
      </c>
      <c r="C2" t="n">
        <v>1</v>
      </c>
      <c r="D2" t="inlineStr">
        <is>
          <t>shutdown</t>
        </is>
      </c>
      <c r="E2" t="inlineStr">
        <is>
          <t>N</t>
        </is>
      </c>
      <c r="F2" t="b">
        <v>0</v>
      </c>
      <c r="G2" t="inlineStr">
        <is>
          <t>Operating controls (normal stop)</t>
        </is>
      </c>
      <c r="H2" t="inlineStr">
        <is>
          <t>Notify all affected production and sanitation employees, then bring the machine to a normal, controlled stop using its operating controls.</t>
        </is>
      </c>
      <c r="J2" t="inlineStr">
        <is>
          <t>Controles de operacion (paro normal)</t>
        </is>
      </c>
      <c r="K2" t="inlineStr">
        <is>
          <t>Notifique a todos los empleados afectados de produccion y sanidad; luego detenga la maquina de forma normal y controlada con sus controles de operacion.</t>
        </is>
      </c>
    </row>
    <row r="3">
      <c r="A3" t="inlineStr">
        <is>
          <t>302-MX-1</t>
        </is>
      </c>
      <c r="B3" t="n">
        <v>2</v>
      </c>
      <c r="C3" t="n">
        <v>2</v>
      </c>
      <c r="D3" t="inlineStr">
        <is>
          <t>isolate</t>
        </is>
      </c>
      <c r="E3" t="inlineStr">
        <is>
          <t>E</t>
        </is>
      </c>
      <c r="F3" t="b">
        <v>0</v>
      </c>
      <c r="G3" t="inlineStr">
        <is>
          <t>Main electrical disconnect</t>
        </is>
      </c>
      <c r="H3" t="inlineStr">
        <is>
          <t>ELECTRICAL - Open the machine's main electrical disconnect to the OFF position. [VERIFY ON SITE: disconnect ID &amp; location]</t>
        </is>
      </c>
      <c r="J3" t="inlineStr">
        <is>
          <t>Desconectador electrico principal</t>
        </is>
      </c>
      <c r="K3" t="inlineStr">
        <is>
          <t>ELECTRICO - Abra el desconectador electrico principal a la posicion OFF (apagado). [VERIFY ON SITE: identificacion y ubicacion del desconectador]</t>
        </is>
      </c>
    </row>
    <row r="4">
      <c r="A4" t="inlineStr">
        <is>
          <t>302-MX-1</t>
        </is>
      </c>
      <c r="B4" t="n">
        <v>3</v>
      </c>
      <c r="C4" t="n">
        <v>3</v>
      </c>
      <c r="D4" t="inlineStr">
        <is>
          <t>isolate</t>
        </is>
      </c>
      <c r="E4" t="inlineStr">
        <is>
          <t>H</t>
        </is>
      </c>
      <c r="F4" t="b">
        <v>0</v>
      </c>
      <c r="G4" t="inlineStr">
        <is>
          <t>Hydraulic isolation valve</t>
        </is>
      </c>
      <c r="H4" t="inlineStr">
        <is>
          <t>HYDRAULIC - Close the hydraulic supply/isolation valve and confirm the pump is de-energized. [VERIFY ON SITE: valve location]</t>
        </is>
      </c>
      <c r="J4" t="inlineStr">
        <is>
          <t>Valvula de aislamiento hidraulico</t>
        </is>
      </c>
      <c r="K4" t="inlineStr">
        <is>
          <t>HIDRAULICO - Cierre la valvula de suministro/aislamiento hidraulico y confirme que la bomba este sin energia. [VERIFY ON SITE: ubicacion de la valvula]</t>
        </is>
      </c>
    </row>
    <row r="5">
      <c r="A5" t="inlineStr">
        <is>
          <t>302-MX-1</t>
        </is>
      </c>
      <c r="B5" t="n">
        <v>4</v>
      </c>
      <c r="C5" t="n">
        <v>4</v>
      </c>
      <c r="D5" t="inlineStr">
        <is>
          <t>isolate</t>
        </is>
      </c>
      <c r="E5" t="inlineStr">
        <is>
          <t>P</t>
        </is>
      </c>
      <c r="F5" t="b">
        <v>0</v>
      </c>
      <c r="G5" t="inlineStr">
        <is>
          <t>Air-supply isolation valve</t>
        </is>
      </c>
      <c r="H5" t="inlineStr">
        <is>
          <t>PNEUMATIC - Close the lockable air-supply isolation valve to the machine. [VERIFY ON SITE: valve location]</t>
        </is>
      </c>
      <c r="J5" t="inlineStr">
        <is>
          <t>Valvula de aislamiento de aire</t>
        </is>
      </c>
      <c r="K5" t="inlineStr">
        <is>
          <t>NEUMATICO - Cierre la valvula de aislamiento del suministro de aire (con candado). [VERIFY ON SITE: ubicacion de la valvula]</t>
        </is>
      </c>
    </row>
    <row r="6">
      <c r="A6" t="inlineStr">
        <is>
          <t>302-MX-1</t>
        </is>
      </c>
      <c r="B6" t="n">
        <v>5</v>
      </c>
      <c r="C6" t="n">
        <v>5</v>
      </c>
      <c r="D6" t="inlineStr">
        <is>
          <t>isolate</t>
        </is>
      </c>
      <c r="E6" t="inlineStr">
        <is>
          <t>M</t>
        </is>
      </c>
      <c r="F6" t="b">
        <v>0</v>
      </c>
      <c r="G6" t="inlineStr">
        <is>
          <t>Drive brake / rotating parts</t>
        </is>
      </c>
      <c r="H6" t="inlineStr">
        <is>
          <t>MECHANICAL - Confirm all drives are commanded off and engage any drive brake / anti-rotation pin provided. [VERIFY ON SITE: brake/pin location]</t>
        </is>
      </c>
      <c r="J6" t="inlineStr">
        <is>
          <t>Freno / piezas giratorias</t>
        </is>
      </c>
      <c r="K6" t="inlineStr">
        <is>
          <t>MECANICO - Confirme que todos los accionamientos esten apagados y active el freno / seguro contra rotacion si existe. [VERIFY ON SITE: ubicacion del freno/seguro]</t>
        </is>
      </c>
    </row>
    <row r="7">
      <c r="A7" t="inlineStr">
        <is>
          <t>302-MX-1</t>
        </is>
      </c>
      <c r="B7" t="n">
        <v>6</v>
      </c>
      <c r="C7" t="n">
        <v>6</v>
      </c>
      <c r="D7" t="inlineStr">
        <is>
          <t>release_stored_energy</t>
        </is>
      </c>
      <c r="E7" t="inlineStr">
        <is>
          <t>E</t>
        </is>
      </c>
      <c r="F7" t="b">
        <v>0</v>
      </c>
      <c r="G7" t="inlineStr">
        <is>
          <t>Main electrical disconnect</t>
        </is>
      </c>
      <c r="H7" t="inlineStr">
        <is>
          <t>ELECTRICAL - Allow VFD/servo DC-bus capacitors to discharge before contact (minimum 5 minutes, or per nameplate). [VERIFY ON SITE: drive discharge time]</t>
        </is>
      </c>
      <c r="J7" t="inlineStr">
        <is>
          <t>Desconectador electrico principal</t>
        </is>
      </c>
      <c r="K7" t="inlineStr">
        <is>
          <t>ELECTRICO - Permita que los capacitores del bus de CD del VFD/servo se descarguen antes del contacto (minimo 5 minutos o segun placa). [VERIFY ON SITE: tiempo de descarga del variador]</t>
        </is>
      </c>
    </row>
    <row r="8">
      <c r="A8" t="inlineStr">
        <is>
          <t>302-MX-1</t>
        </is>
      </c>
      <c r="B8" t="n">
        <v>7</v>
      </c>
      <c r="C8" t="n">
        <v>7</v>
      </c>
      <c r="D8" t="inlineStr">
        <is>
          <t>release_stored_energy</t>
        </is>
      </c>
      <c r="E8" t="inlineStr">
        <is>
          <t>H</t>
        </is>
      </c>
      <c r="F8" t="b">
        <v>0</v>
      </c>
      <c r="G8" t="inlineStr">
        <is>
          <t>Hydraulic isolation valve</t>
        </is>
      </c>
      <c r="H8" t="inlineStr">
        <is>
          <t>HYDRAULIC - Relieve hydraulic pressure to 0 AND block any gravity-loaded member (ram, bowl, carriage) before work. [VERIFY ON SITE: blocking method]</t>
        </is>
      </c>
      <c r="J8" t="inlineStr">
        <is>
          <t>Valvula de aislamiento hidraulico</t>
        </is>
      </c>
      <c r="K8" t="inlineStr">
        <is>
          <t>HIDRAULICO - Alivie la presion hidraulica a 0 Y bloquee cualquier elemento cargado por gravedad (ariete, tazon, carro) antes de trabajar. [VERIFY ON SITE: metodo de bloqueo]</t>
        </is>
      </c>
    </row>
    <row r="9">
      <c r="A9" t="inlineStr">
        <is>
          <t>302-MX-1</t>
        </is>
      </c>
      <c r="B9" t="n">
        <v>8</v>
      </c>
      <c r="C9" t="n">
        <v>8</v>
      </c>
      <c r="D9" t="inlineStr">
        <is>
          <t>release_stored_energy</t>
        </is>
      </c>
      <c r="E9" t="inlineStr">
        <is>
          <t>P</t>
        </is>
      </c>
      <c r="F9" t="b">
        <v>0</v>
      </c>
      <c r="G9" t="inlineStr">
        <is>
          <t>Air-supply isolation valve</t>
        </is>
      </c>
      <c r="H9" t="inlineStr">
        <is>
          <t>PNEUMATIC - Bleed trapped air downstream of the isolation valve to 0 psi; account for spring-return and vacuum-held actuators.</t>
        </is>
      </c>
      <c r="J9" t="inlineStr">
        <is>
          <t>Valvula de aislamiento de aire</t>
        </is>
      </c>
      <c r="K9" t="inlineStr">
        <is>
          <t>NEUMATICO - Purgue el aire atrapado aguas abajo de la valvula a 0 psi; considere actuadores de retorno por resorte y de vacio.</t>
        </is>
      </c>
    </row>
    <row r="10">
      <c r="A10" t="inlineStr">
        <is>
          <t>302-MX-1</t>
        </is>
      </c>
      <c r="B10" t="n">
        <v>9</v>
      </c>
      <c r="C10" t="n">
        <v>9</v>
      </c>
      <c r="D10" t="inlineStr">
        <is>
          <t>release_stored_energy</t>
        </is>
      </c>
      <c r="E10" t="inlineStr">
        <is>
          <t>M</t>
        </is>
      </c>
      <c r="F10" t="b">
        <v>0</v>
      </c>
      <c r="G10" t="inlineStr">
        <is>
          <t>Drive brake / rotating parts</t>
        </is>
      </c>
      <c r="H10" t="inlineStr">
        <is>
          <t>MECHANICAL - Allow all rotating or coasting parts (motors, fans, flywheels, blades, rollers) to come to a complete stop.</t>
        </is>
      </c>
      <c r="J10" t="inlineStr">
        <is>
          <t>Freno / piezas giratorias</t>
        </is>
      </c>
      <c r="K10" t="inlineStr">
        <is>
          <t>MECANICO - Permita que todas las piezas giratorias o en inercia (motores, ventiladores, volantes, cuchillas, rodillos) se detengan por completo.</t>
        </is>
      </c>
    </row>
    <row r="11">
      <c r="A11" t="inlineStr">
        <is>
          <t>302-MX-1</t>
        </is>
      </c>
      <c r="B11" t="n">
        <v>10</v>
      </c>
      <c r="C11" t="n">
        <v>10</v>
      </c>
      <c r="D11" t="inlineStr">
        <is>
          <t>lockout</t>
        </is>
      </c>
      <c r="E11" t="inlineStr">
        <is>
          <t>N</t>
        </is>
      </c>
      <c r="F11" t="b">
        <v>0</v>
      </c>
      <c r="G11" t="inlineStr">
        <is>
          <t>All isolation devices listed above</t>
        </is>
      </c>
      <c r="H11" t="inlineStr">
        <is>
          <t>Apply an assigned lock AND a durable tag at EACH isolating device listed above. Each authorized worker applies their own lock (group lockout where required).</t>
        </is>
      </c>
      <c r="J11" t="inlineStr">
        <is>
          <t>Todos los dispositivos de aislamiento anteriores</t>
        </is>
      </c>
      <c r="K11" t="inlineStr">
        <is>
          <t>Coloque un candado asignado Y una etiqueta duradera en CADA dispositivo de aislamiento anterior. Cada trabajador autorizado coloca su propio candado (bloqueo grupal cuando se requiera).</t>
        </is>
      </c>
    </row>
    <row r="12">
      <c r="A12" t="inlineStr">
        <is>
          <t>302-MX-1</t>
        </is>
      </c>
      <c r="B12" t="n">
        <v>11</v>
      </c>
      <c r="C12" t="n">
        <v>11</v>
      </c>
      <c r="D12" t="inlineStr">
        <is>
          <t>verify_zero_energy</t>
        </is>
      </c>
      <c r="E12" t="inlineStr">
        <is>
          <t>E</t>
        </is>
      </c>
      <c r="F12" t="b">
        <v>1</v>
      </c>
      <c r="G12" t="inlineStr">
        <is>
          <t>Main electrical disconnect</t>
        </is>
      </c>
      <c r="H12" t="inlineStr">
        <is>
          <t>ELECTRICAL - With a calibrated meter, verify 0 V on the load side of the disconnect, phase-to-phase and phase-to-ground (test the meter on a known live source first and after).</t>
        </is>
      </c>
      <c r="I12" t="inlineStr">
        <is>
          <t>ELECTRICAL - With a calibrated meter, verify 0 V on the load side of the disconnect, phase-to-phase and phase-to-ground (test the meter on a known live source first and after).</t>
        </is>
      </c>
      <c r="J12" t="inlineStr">
        <is>
          <t>Desconectador electrico principal</t>
        </is>
      </c>
      <c r="K12" t="inlineStr">
        <is>
          <t>ELECTRICO - Con un multimetro calibrado, verifique 0 V en el lado de carga del desconectador, fase a fase y fase a tierra (pruebe el multimetro en una fuente viva conocida antes y despues).</t>
        </is>
      </c>
      <c r="L12" t="inlineStr">
        <is>
          <t>ELECTRICO - Con un multimetro calibrado, verifique 0 V en el lado de carga del desconectador, fase a fase y fase a tierra (pruebe el multimetro en una fuente viva conocida antes y despues).</t>
        </is>
      </c>
    </row>
    <row r="13">
      <c r="A13" t="inlineStr">
        <is>
          <t>302-MX-1</t>
        </is>
      </c>
      <c r="B13" t="n">
        <v>12</v>
      </c>
      <c r="C13" t="n">
        <v>12</v>
      </c>
      <c r="D13" t="inlineStr">
        <is>
          <t>verify_zero_energy</t>
        </is>
      </c>
      <c r="E13" t="inlineStr">
        <is>
          <t>H</t>
        </is>
      </c>
      <c r="F13" t="b">
        <v>1</v>
      </c>
      <c r="G13" t="inlineStr">
        <is>
          <t>Hydraulic isolation valve</t>
        </is>
      </c>
      <c r="H13" t="inlineStr">
        <is>
          <t>HYDRAULIC - Confirm the hydraulic gauge reads 0 and the gravity-loaded member is physically blocked.</t>
        </is>
      </c>
      <c r="I13" t="inlineStr">
        <is>
          <t>HYDRAULIC - Confirm the hydraulic gauge reads 0 and the gravity-loaded member is physically blocked.</t>
        </is>
      </c>
      <c r="J13" t="inlineStr">
        <is>
          <t>Valvula de aislamiento hidraulico</t>
        </is>
      </c>
      <c r="K13" t="inlineStr">
        <is>
          <t>HIDRAULICO - Confirme que el manometro hidraulico marque 0 y que el elemento por gravedad este bloqueado fisicamente.</t>
        </is>
      </c>
      <c r="L13" t="inlineStr">
        <is>
          <t>HIDRAULICO - Confirme que el manometro hidraulico marque 0 y que el elemento por gravedad este bloqueado fisicamente.</t>
        </is>
      </c>
    </row>
    <row r="14">
      <c r="A14" t="inlineStr">
        <is>
          <t>302-MX-1</t>
        </is>
      </c>
      <c r="B14" t="n">
        <v>13</v>
      </c>
      <c r="C14" t="n">
        <v>13</v>
      </c>
      <c r="D14" t="inlineStr">
        <is>
          <t>verify_zero_energy</t>
        </is>
      </c>
      <c r="E14" t="inlineStr">
        <is>
          <t>P</t>
        </is>
      </c>
      <c r="F14" t="b">
        <v>1</v>
      </c>
      <c r="G14" t="inlineStr">
        <is>
          <t>Air-supply isolation valve</t>
        </is>
      </c>
      <c r="H14" t="inlineStr">
        <is>
          <t>PNEUMATIC - Confirm the downstream air gauge reads 0 psi.</t>
        </is>
      </c>
      <c r="I14" t="inlineStr">
        <is>
          <t>PNEUMATIC - Confirm the downstream air gauge reads 0 psi.</t>
        </is>
      </c>
      <c r="J14" t="inlineStr">
        <is>
          <t>Valvula de aislamiento de aire</t>
        </is>
      </c>
      <c r="K14" t="inlineStr">
        <is>
          <t>NEUMATICO - Confirme que el manometro de aire aguas abajo marque 0 psi.</t>
        </is>
      </c>
      <c r="L14" t="inlineStr">
        <is>
          <t>NEUMATICO - Confirme que el manometro de aire aguas abajo marque 0 psi.</t>
        </is>
      </c>
    </row>
    <row r="15">
      <c r="A15" t="inlineStr">
        <is>
          <t>302-MX-1</t>
        </is>
      </c>
      <c r="B15" t="n">
        <v>14</v>
      </c>
      <c r="C15" t="n">
        <v>14</v>
      </c>
      <c r="D15" t="inlineStr">
        <is>
          <t>verify_zero_energy</t>
        </is>
      </c>
      <c r="E15" t="inlineStr">
        <is>
          <t>N</t>
        </is>
      </c>
      <c r="F15" t="b">
        <v>1</v>
      </c>
      <c r="G15" t="inlineStr">
        <is>
          <t>Tryout at operating controls</t>
        </is>
      </c>
      <c r="H15" t="inlineStr">
        <is>
          <t>Attempt to start the machine from its normal controls to confirm no response, then return all controls to OFF / neutral.</t>
        </is>
      </c>
      <c r="I15" t="inlineStr">
        <is>
          <t>Attempt to start the machine from its normal controls to confirm no response, then return all controls to OFF / neutral.</t>
        </is>
      </c>
      <c r="J15" t="inlineStr">
        <is>
          <t>Prueba de arranque en los controles</t>
        </is>
      </c>
      <c r="K15" t="inlineStr">
        <is>
          <t>Intente arrancar la maquina desde sus controles normales para confirmar que no responde; luego regrese todos los controles a OFF / neutral.</t>
        </is>
      </c>
      <c r="L15" t="inlineStr">
        <is>
          <t>Intente arrancar la maquina desde sus controles normales para confirmar que no responde; luego regrese todos los controles a OFF / neutral.</t>
        </is>
      </c>
    </row>
    <row r="16">
      <c r="A16" t="inlineStr">
        <is>
          <t>321-MX-01</t>
        </is>
      </c>
      <c r="B16" t="n">
        <v>1</v>
      </c>
      <c r="C16" t="n">
        <v>1</v>
      </c>
      <c r="D16" t="inlineStr">
        <is>
          <t>shutdown</t>
        </is>
      </c>
      <c r="E16" t="inlineStr">
        <is>
          <t>N</t>
        </is>
      </c>
      <c r="F16" t="b">
        <v>0</v>
      </c>
      <c r="G16" t="inlineStr">
        <is>
          <t>Operating controls (normal stop)</t>
        </is>
      </c>
      <c r="H16" t="inlineStr">
        <is>
          <t>Notify all affected production and sanitation employees, then bring the machine to a normal, controlled stop using its operating controls.</t>
        </is>
      </c>
      <c r="J16" t="inlineStr">
        <is>
          <t>Controles de operacion (paro normal)</t>
        </is>
      </c>
      <c r="K16" t="inlineStr">
        <is>
          <t>Notifique a todos los empleados afectados de produccion y sanidad; luego detenga la maquina de forma normal y controlada con sus controles de operacion.</t>
        </is>
      </c>
    </row>
    <row r="17">
      <c r="A17" t="inlineStr">
        <is>
          <t>321-MX-01</t>
        </is>
      </c>
      <c r="B17" t="n">
        <v>2</v>
      </c>
      <c r="C17" t="n">
        <v>2</v>
      </c>
      <c r="D17" t="inlineStr">
        <is>
          <t>isolate</t>
        </is>
      </c>
      <c r="E17" t="inlineStr">
        <is>
          <t>E</t>
        </is>
      </c>
      <c r="F17" t="b">
        <v>0</v>
      </c>
      <c r="G17" t="inlineStr">
        <is>
          <t>Main electrical disconnect</t>
        </is>
      </c>
      <c r="H17" t="inlineStr">
        <is>
          <t>ELECTRICAL - Open the machine's main electrical disconnect to the OFF position. [VERIFY ON SITE: disconnect ID &amp; location]</t>
        </is>
      </c>
      <c r="J17" t="inlineStr">
        <is>
          <t>Desconectador electrico principal</t>
        </is>
      </c>
      <c r="K17" t="inlineStr">
        <is>
          <t>ELECTRICO - Abra el desconectador electrico principal a la posicion OFF (apagado). [VERIFY ON SITE: identificacion y ubicacion del desconectador]</t>
        </is>
      </c>
    </row>
    <row r="18">
      <c r="A18" t="inlineStr">
        <is>
          <t>321-MX-01</t>
        </is>
      </c>
      <c r="B18" t="n">
        <v>3</v>
      </c>
      <c r="C18" t="n">
        <v>3</v>
      </c>
      <c r="D18" t="inlineStr">
        <is>
          <t>isolate</t>
        </is>
      </c>
      <c r="E18" t="inlineStr">
        <is>
          <t>H</t>
        </is>
      </c>
      <c r="F18" t="b">
        <v>0</v>
      </c>
      <c r="G18" t="inlineStr">
        <is>
          <t>Hydraulic isolation valve</t>
        </is>
      </c>
      <c r="H18" t="inlineStr">
        <is>
          <t>HYDRAULIC - Close the hydraulic supply/isolation valve and confirm the pump is de-energized. [VERIFY ON SITE: valve location]</t>
        </is>
      </c>
      <c r="J18" t="inlineStr">
        <is>
          <t>Valvula de aislamiento hidraulico</t>
        </is>
      </c>
      <c r="K18" t="inlineStr">
        <is>
          <t>HIDRAULICO - Cierre la valvula de suministro/aislamiento hidraulico y confirme que la bomba este sin energia. [VERIFY ON SITE: ubicacion de la valvula]</t>
        </is>
      </c>
    </row>
    <row r="19">
      <c r="A19" t="inlineStr">
        <is>
          <t>321-MX-01</t>
        </is>
      </c>
      <c r="B19" t="n">
        <v>4</v>
      </c>
      <c r="C19" t="n">
        <v>4</v>
      </c>
      <c r="D19" t="inlineStr">
        <is>
          <t>isolate</t>
        </is>
      </c>
      <c r="E19" t="inlineStr">
        <is>
          <t>P</t>
        </is>
      </c>
      <c r="F19" t="b">
        <v>0</v>
      </c>
      <c r="G19" t="inlineStr">
        <is>
          <t>Air-supply isolation valve</t>
        </is>
      </c>
      <c r="H19" t="inlineStr">
        <is>
          <t>PNEUMATIC - Close the lockable air-supply isolation valve to the machine. [VERIFY ON SITE: valve location]</t>
        </is>
      </c>
      <c r="J19" t="inlineStr">
        <is>
          <t>Valvula de aislamiento de aire</t>
        </is>
      </c>
      <c r="K19" t="inlineStr">
        <is>
          <t>NEUMATICO - Cierre la valvula de aislamiento del suministro de aire (con candado). [VERIFY ON SITE: ubicacion de la valvula]</t>
        </is>
      </c>
    </row>
    <row r="20">
      <c r="A20" t="inlineStr">
        <is>
          <t>321-MX-01</t>
        </is>
      </c>
      <c r="B20" t="n">
        <v>5</v>
      </c>
      <c r="C20" t="n">
        <v>5</v>
      </c>
      <c r="D20" t="inlineStr">
        <is>
          <t>isolate</t>
        </is>
      </c>
      <c r="E20" t="inlineStr">
        <is>
          <t>M</t>
        </is>
      </c>
      <c r="F20" t="b">
        <v>0</v>
      </c>
      <c r="G20" t="inlineStr">
        <is>
          <t>Drive brake / rotating parts</t>
        </is>
      </c>
      <c r="H20" t="inlineStr">
        <is>
          <t>MECHANICAL - Confirm all drives are commanded off and engage any drive brake / anti-rotation pin provided. [VERIFY ON SITE: brake/pin location]</t>
        </is>
      </c>
      <c r="J20" t="inlineStr">
        <is>
          <t>Freno / piezas giratorias</t>
        </is>
      </c>
      <c r="K20" t="inlineStr">
        <is>
          <t>MECANICO - Confirme que todos los accionamientos esten apagados y active el freno / seguro contra rotacion si existe. [VERIFY ON SITE: ubicacion del freno/seguro]</t>
        </is>
      </c>
    </row>
    <row r="21">
      <c r="A21" t="inlineStr">
        <is>
          <t>321-MX-01</t>
        </is>
      </c>
      <c r="B21" t="n">
        <v>6</v>
      </c>
      <c r="C21" t="n">
        <v>6</v>
      </c>
      <c r="D21" t="inlineStr">
        <is>
          <t>release_stored_energy</t>
        </is>
      </c>
      <c r="E21" t="inlineStr">
        <is>
          <t>E</t>
        </is>
      </c>
      <c r="F21" t="b">
        <v>0</v>
      </c>
      <c r="G21" t="inlineStr">
        <is>
          <t>Main electrical disconnect</t>
        </is>
      </c>
      <c r="H21" t="inlineStr">
        <is>
          <t>ELECTRICAL - Allow VFD/servo DC-bus capacitors to discharge before contact (minimum 5 minutes, or per nameplate). [VERIFY ON SITE: drive discharge time]</t>
        </is>
      </c>
      <c r="J21" t="inlineStr">
        <is>
          <t>Desconectador electrico principal</t>
        </is>
      </c>
      <c r="K21" t="inlineStr">
        <is>
          <t>ELECTRICO - Permita que los capacitores del bus de CD del VFD/servo se descarguen antes del contacto (minimo 5 minutos o segun placa). [VERIFY ON SITE: tiempo de descarga del variador]</t>
        </is>
      </c>
    </row>
    <row r="22">
      <c r="A22" t="inlineStr">
        <is>
          <t>321-MX-01</t>
        </is>
      </c>
      <c r="B22" t="n">
        <v>7</v>
      </c>
      <c r="C22" t="n">
        <v>7</v>
      </c>
      <c r="D22" t="inlineStr">
        <is>
          <t>release_stored_energy</t>
        </is>
      </c>
      <c r="E22" t="inlineStr">
        <is>
          <t>H</t>
        </is>
      </c>
      <c r="F22" t="b">
        <v>0</v>
      </c>
      <c r="G22" t="inlineStr">
        <is>
          <t>Hydraulic isolation valve</t>
        </is>
      </c>
      <c r="H22" t="inlineStr">
        <is>
          <t>HYDRAULIC - Relieve hydraulic pressure to 0 AND block any gravity-loaded member (ram, bowl, carriage) before work. [VERIFY ON SITE: blocking method]</t>
        </is>
      </c>
      <c r="J22" t="inlineStr">
        <is>
          <t>Valvula de aislamiento hidraulico</t>
        </is>
      </c>
      <c r="K22" t="inlineStr">
        <is>
          <t>HIDRAULICO - Alivie la presion hidraulica a 0 Y bloquee cualquier elemento cargado por gravedad (ariete, tazon, carro) antes de trabajar. [VERIFY ON SITE: metodo de bloqueo]</t>
        </is>
      </c>
    </row>
    <row r="23">
      <c r="A23" t="inlineStr">
        <is>
          <t>321-MX-01</t>
        </is>
      </c>
      <c r="B23" t="n">
        <v>8</v>
      </c>
      <c r="C23" t="n">
        <v>8</v>
      </c>
      <c r="D23" t="inlineStr">
        <is>
          <t>release_stored_energy</t>
        </is>
      </c>
      <c r="E23" t="inlineStr">
        <is>
          <t>P</t>
        </is>
      </c>
      <c r="F23" t="b">
        <v>0</v>
      </c>
      <c r="G23" t="inlineStr">
        <is>
          <t>Air-supply isolation valve</t>
        </is>
      </c>
      <c r="H23" t="inlineStr">
        <is>
          <t>PNEUMATIC - Bleed trapped air downstream of the isolation valve to 0 psi; account for spring-return and vacuum-held actuators.</t>
        </is>
      </c>
      <c r="J23" t="inlineStr">
        <is>
          <t>Valvula de aislamiento de aire</t>
        </is>
      </c>
      <c r="K23" t="inlineStr">
        <is>
          <t>NEUMATICO - Purgue el aire atrapado aguas abajo de la valvula a 0 psi; considere actuadores de retorno por resorte y de vacio.</t>
        </is>
      </c>
    </row>
    <row r="24">
      <c r="A24" t="inlineStr">
        <is>
          <t>321-MX-01</t>
        </is>
      </c>
      <c r="B24" t="n">
        <v>9</v>
      </c>
      <c r="C24" t="n">
        <v>9</v>
      </c>
      <c r="D24" t="inlineStr">
        <is>
          <t>release_stored_energy</t>
        </is>
      </c>
      <c r="E24" t="inlineStr">
        <is>
          <t>M</t>
        </is>
      </c>
      <c r="F24" t="b">
        <v>0</v>
      </c>
      <c r="G24" t="inlineStr">
        <is>
          <t>Drive brake / rotating parts</t>
        </is>
      </c>
      <c r="H24" t="inlineStr">
        <is>
          <t>MECHANICAL - Allow all rotating or coasting parts (motors, fans, flywheels, blades, rollers) to come to a complete stop.</t>
        </is>
      </c>
      <c r="J24" t="inlineStr">
        <is>
          <t>Freno / piezas giratorias</t>
        </is>
      </c>
      <c r="K24" t="inlineStr">
        <is>
          <t>MECANICO - Permita que todas las piezas giratorias o en inercia (motores, ventiladores, volantes, cuchillas, rodillos) se detengan por completo.</t>
        </is>
      </c>
    </row>
    <row r="25">
      <c r="A25" t="inlineStr">
        <is>
          <t>321-MX-01</t>
        </is>
      </c>
      <c r="B25" t="n">
        <v>10</v>
      </c>
      <c r="C25" t="n">
        <v>10</v>
      </c>
      <c r="D25" t="inlineStr">
        <is>
          <t>lockout</t>
        </is>
      </c>
      <c r="E25" t="inlineStr">
        <is>
          <t>N</t>
        </is>
      </c>
      <c r="F25" t="b">
        <v>0</v>
      </c>
      <c r="G25" t="inlineStr">
        <is>
          <t>All isolation devices listed above</t>
        </is>
      </c>
      <c r="H25" t="inlineStr">
        <is>
          <t>Apply an assigned lock AND a durable tag at EACH isolating device listed above. Each authorized worker applies their own lock (group lockout where required).</t>
        </is>
      </c>
      <c r="J25" t="inlineStr">
        <is>
          <t>Todos los dispositivos de aislamiento anteriores</t>
        </is>
      </c>
      <c r="K25" t="inlineStr">
        <is>
          <t>Coloque un candado asignado Y una etiqueta duradera en CADA dispositivo de aislamiento anterior. Cada trabajador autorizado coloca su propio candado (bloqueo grupal cuando se requiera).</t>
        </is>
      </c>
    </row>
    <row r="26">
      <c r="A26" t="inlineStr">
        <is>
          <t>321-MX-01</t>
        </is>
      </c>
      <c r="B26" t="n">
        <v>11</v>
      </c>
      <c r="C26" t="n">
        <v>11</v>
      </c>
      <c r="D26" t="inlineStr">
        <is>
          <t>verify_zero_energy</t>
        </is>
      </c>
      <c r="E26" t="inlineStr">
        <is>
          <t>E</t>
        </is>
      </c>
      <c r="F26" t="b">
        <v>1</v>
      </c>
      <c r="G26" t="inlineStr">
        <is>
          <t>Main electrical disconnect</t>
        </is>
      </c>
      <c r="H26" t="inlineStr">
        <is>
          <t>ELECTRICAL - With a calibrated meter, verify 0 V on the load side of the disconnect, phase-to-phase and phase-to-ground (test the meter on a known live source first and after).</t>
        </is>
      </c>
      <c r="I26" t="inlineStr">
        <is>
          <t>ELECTRICAL - With a calibrated meter, verify 0 V on the load side of the disconnect, phase-to-phase and phase-to-ground (test the meter on a known live source first and after).</t>
        </is>
      </c>
      <c r="J26" t="inlineStr">
        <is>
          <t>Desconectador electrico principal</t>
        </is>
      </c>
      <c r="K26" t="inlineStr">
        <is>
          <t>ELECTRICO - Con un multimetro calibrado, verifique 0 V en el lado de carga del desconectador, fase a fase y fase a tierra (pruebe el multimetro en una fuente viva conocida antes y despues).</t>
        </is>
      </c>
      <c r="L26" t="inlineStr">
        <is>
          <t>ELECTRICO - Con un multimetro calibrado, verifique 0 V en el lado de carga del desconectador, fase a fase y fase a tierra (pruebe el multimetro en una fuente viva conocida antes y despues).</t>
        </is>
      </c>
    </row>
    <row r="27">
      <c r="A27" t="inlineStr">
        <is>
          <t>321-MX-01</t>
        </is>
      </c>
      <c r="B27" t="n">
        <v>12</v>
      </c>
      <c r="C27" t="n">
        <v>12</v>
      </c>
      <c r="D27" t="inlineStr">
        <is>
          <t>verify_zero_energy</t>
        </is>
      </c>
      <c r="E27" t="inlineStr">
        <is>
          <t>H</t>
        </is>
      </c>
      <c r="F27" t="b">
        <v>1</v>
      </c>
      <c r="G27" t="inlineStr">
        <is>
          <t>Hydraulic isolation valve</t>
        </is>
      </c>
      <c r="H27" t="inlineStr">
        <is>
          <t>HYDRAULIC - Confirm the hydraulic gauge reads 0 and the gravity-loaded member is physically blocked.</t>
        </is>
      </c>
      <c r="I27" t="inlineStr">
        <is>
          <t>HYDRAULIC - Confirm the hydraulic gauge reads 0 and the gravity-loaded member is physically blocked.</t>
        </is>
      </c>
      <c r="J27" t="inlineStr">
        <is>
          <t>Valvula de aislamiento hidraulico</t>
        </is>
      </c>
      <c r="K27" t="inlineStr">
        <is>
          <t>HIDRAULICO - Confirme que el manometro hidraulico marque 0 y que el elemento por gravedad este bloqueado fisicamente.</t>
        </is>
      </c>
      <c r="L27" t="inlineStr">
        <is>
          <t>HIDRAULICO - Confirme que el manometro hidraulico marque 0 y que el elemento por gravedad este bloqueado fisicamente.</t>
        </is>
      </c>
    </row>
    <row r="28">
      <c r="A28" t="inlineStr">
        <is>
          <t>321-MX-01</t>
        </is>
      </c>
      <c r="B28" t="n">
        <v>13</v>
      </c>
      <c r="C28" t="n">
        <v>13</v>
      </c>
      <c r="D28" t="inlineStr">
        <is>
          <t>verify_zero_energy</t>
        </is>
      </c>
      <c r="E28" t="inlineStr">
        <is>
          <t>P</t>
        </is>
      </c>
      <c r="F28" t="b">
        <v>1</v>
      </c>
      <c r="G28" t="inlineStr">
        <is>
          <t>Air-supply isolation valve</t>
        </is>
      </c>
      <c r="H28" t="inlineStr">
        <is>
          <t>PNEUMATIC - Confirm the downstream air gauge reads 0 psi.</t>
        </is>
      </c>
      <c r="I28" t="inlineStr">
        <is>
          <t>PNEUMATIC - Confirm the downstream air gauge reads 0 psi.</t>
        </is>
      </c>
      <c r="J28" t="inlineStr">
        <is>
          <t>Valvula de aislamiento de aire</t>
        </is>
      </c>
      <c r="K28" t="inlineStr">
        <is>
          <t>NEUMATICO - Confirme que el manometro de aire aguas abajo marque 0 psi.</t>
        </is>
      </c>
      <c r="L28" t="inlineStr">
        <is>
          <t>NEUMATICO - Confirme que el manometro de aire aguas abajo marque 0 psi.</t>
        </is>
      </c>
    </row>
    <row r="29">
      <c r="A29" t="inlineStr">
        <is>
          <t>321-MX-01</t>
        </is>
      </c>
      <c r="B29" t="n">
        <v>14</v>
      </c>
      <c r="C29" t="n">
        <v>14</v>
      </c>
      <c r="D29" t="inlineStr">
        <is>
          <t>verify_zero_energy</t>
        </is>
      </c>
      <c r="E29" t="inlineStr">
        <is>
          <t>N</t>
        </is>
      </c>
      <c r="F29" t="b">
        <v>1</v>
      </c>
      <c r="G29" t="inlineStr">
        <is>
          <t>Tryout at operating controls</t>
        </is>
      </c>
      <c r="H29" t="inlineStr">
        <is>
          <t>Attempt to start the machine from its normal controls to confirm no response, then return all controls to OFF / neutral.</t>
        </is>
      </c>
      <c r="I29" t="inlineStr">
        <is>
          <t>Attempt to start the machine from its normal controls to confirm no response, then return all controls to OFF / neutral.</t>
        </is>
      </c>
      <c r="J29" t="inlineStr">
        <is>
          <t>Prueba de arranque en los controles</t>
        </is>
      </c>
      <c r="K29" t="inlineStr">
        <is>
          <t>Intente arrancar la maquina desde sus controles normales para confirmar que no responde; luego regrese todos los controles a OFF / neutral.</t>
        </is>
      </c>
      <c r="L29" t="inlineStr">
        <is>
          <t>Intente arrancar la maquina desde sus controles normales para confirmar que no responde; luego regrese todos los controles a OFF / neutral.</t>
        </is>
      </c>
    </row>
  </sheetData>
  <autoFilter ref="A1:M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6" t="inlineStr">
        <is>
          <t>Placard export summary</t>
        </is>
      </c>
    </row>
    <row r="3">
      <c r="A3" s="67" t="inlineStr">
        <is>
          <t>Placards (active equipment)</t>
        </is>
      </c>
      <c r="B3" s="68" t="n">
        <v>2</v>
      </c>
    </row>
    <row r="4">
      <c r="A4" s="67" t="inlineStr">
        <is>
          <t>Energy isolation steps</t>
        </is>
      </c>
      <c r="B4" s="68" t="n">
        <v>28</v>
      </c>
    </row>
    <row r="5">
      <c r="A5" s="67" t="inlineStr">
        <is>
          <t>Rendered placard pages</t>
        </is>
      </c>
      <c r="B5" s="68" t="n">
        <v>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7" t="inlineStr">
        <is>
          <t>Mixers</t>
        </is>
      </c>
      <c r="B8" s="67">
        <f>COUNTIF(Equipment!$C$2:$C$3,$A8)</f>
        <v/>
      </c>
      <c r="C8" s="67">
        <f>COUNTIFS(Equipment!$C$2:$C$3,$A8,Equipment!$H$2:$H$3,"complete")</f>
        <v/>
      </c>
      <c r="D8" s="67">
        <f>COUNTIFS(Equipment!$C$2:$C$3,$A8,Equipment!$H$2:$H$3,"partial")</f>
        <v/>
      </c>
      <c r="E8" s="67">
        <f>COUNTIFS(Equipment!$C$2:$C$3,$A8,Equipment!$H$2:$H$3,"missing")</f>
        <v/>
      </c>
      <c r="F8" s="67">
        <f>COUNTIFS(Equipment!$C$2:$C$3,$A8,Equipment!$N$2:$N$3,TRUE)</f>
        <v/>
      </c>
    </row>
    <row r="9">
      <c r="A9" s="68" t="inlineStr">
        <is>
          <t>Total</t>
        </is>
      </c>
      <c r="B9" s="68">
        <f>SUM(B8:B8)</f>
        <v/>
      </c>
      <c r="C9" s="68">
        <f>SUM(C8:C8)</f>
        <v/>
      </c>
      <c r="D9" s="68">
        <f>SUM(D8:D8)</f>
        <v/>
      </c>
      <c r="E9" s="68">
        <f>SUM(E8:E8)</f>
        <v/>
      </c>
      <c r="F9" s="68">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2026-08-29T00:56:26Z</dcterms:created>
  <dcterms:modified xsi:type="dcterms:W3CDTF">2026-08-29T00:56:26Z</dcterms:modified>
</cp:coreProperties>
</file>